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olumes_2025" sheetId="2" state="visible" r:id="rId4"/>
    <sheet name="Productivity" sheetId="3" state="visible" r:id="rId5"/>
    <sheet name="Coverage_Factors" sheetId="4" state="visible" r:id="rId6"/>
    <sheet name="Staffing_Model_KCCF" sheetId="5" state="visible" r:id="rId7"/>
    <sheet name="Staffing_Model_MRJC" sheetId="6" state="visible" r:id="rId8"/>
    <sheet name="Summary" sheetId="7" state="visible" r:id="rId9"/>
    <sheet name="Scenari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7" authorId="0">
      <text>
        <r>
          <rPr>
            <sz val="10"/>
            <rFont val="Arial"/>
            <family val="2"/>
          </rPr>
          <t xml:space="preserve">20 min/pt/day × 365</t>
        </r>
      </text>
    </comment>
    <comment ref="F10" authorId="0">
      <text>
        <r>
          <rPr>
            <sz val="10"/>
            <rFont val="Arial"/>
            <family val="2"/>
          </rPr>
          <t xml:space="preserve">25 min/pt/day × 365</t>
        </r>
      </text>
    </comment>
    <comment ref="F14" authorId="0">
      <text>
        <r>
          <rPr>
            <sz val="10"/>
            <rFont val="Arial"/>
            <family val="2"/>
          </rPr>
          <t xml:space="preserve">15 min/pt/month × 12</t>
        </r>
      </text>
    </comment>
    <comment ref="F22" authorId="0">
      <text>
        <r>
          <rPr>
            <sz val="10"/>
            <rFont val="Arial"/>
            <family val="2"/>
          </rPr>
          <t xml:space="preserve">90 min/wk ÷ 12-pt group × 52</t>
        </r>
      </text>
    </comment>
    <comment ref="F31" authorId="0">
      <text>
        <r>
          <rPr>
            <sz val="10"/>
            <rFont val="Arial"/>
            <family val="2"/>
          </rPr>
          <t xml:space="preserve">Zero in 2025; scales up July 2026</t>
        </r>
      </text>
    </comment>
    <comment ref="F46" authorId="0">
      <text>
        <r>
          <rPr>
            <sz val="10"/>
            <rFont val="Arial"/>
            <family val="2"/>
          </rPr>
          <t xml:space="preserve">10 min/pt/month × 12</t>
        </r>
      </text>
    </comment>
    <comment ref="F49" authorId="0">
      <text>
        <r>
          <rPr>
            <sz val="10"/>
            <rFont val="Arial"/>
            <family val="2"/>
          </rPr>
          <t xml:space="preserve">8 min/pt/month × 12</t>
        </r>
      </text>
    </comment>
    <comment ref="F50" authorId="0">
      <text>
        <r>
          <rPr>
            <sz val="10"/>
            <rFont val="Arial"/>
            <family val="2"/>
          </rPr>
          <t xml:space="preserve">10 min/pt/day × 365</t>
        </r>
      </text>
    </comment>
    <comment ref="F54" authorId="0">
      <text>
        <r>
          <rPr>
            <sz val="10"/>
            <rFont val="Arial"/>
            <family val="2"/>
          </rPr>
          <t xml:space="preserve">0.5 min per dispense event</t>
        </r>
      </text>
    </comment>
    <comment ref="G8" authorId="0">
      <text>
        <r>
          <rPr>
            <sz val="10"/>
            <rFont val="Arial"/>
            <family val="2"/>
          </rPr>
          <t xml:space="preserve">KCCF is primary psych housing; MRJC staffed from general nursing pool</t>
        </r>
      </text>
    </comment>
    <comment ref="G19" authorId="0">
      <text>
        <r>
          <rPr>
            <sz val="10"/>
            <rFont val="Arial"/>
            <family val="2"/>
          </rPr>
          <t xml:space="preserve">Caseload split by facility</t>
        </r>
      </text>
    </comment>
    <comment ref="G42" authorId="0">
      <text>
        <r>
          <rPr>
            <sz val="10"/>
            <rFont val="Arial"/>
            <family val="2"/>
          </rPr>
          <t xml:space="preserve">Single lead across both facilities</t>
        </r>
      </text>
    </comment>
    <comment ref="G43" authorId="0">
      <text>
        <r>
          <rPr>
            <sz val="10"/>
            <rFont val="Arial"/>
            <family val="2"/>
          </rPr>
          <t xml:space="preserve">Shared across both facilities</t>
        </r>
      </text>
    </comment>
    <comment ref="G44" authorId="0">
      <text>
        <r>
          <rPr>
            <sz val="10"/>
            <rFont val="Arial"/>
            <family val="2"/>
          </rPr>
          <t xml:space="preserve">Shared 24/7 on-call pool</t>
        </r>
      </text>
    </comment>
    <comment ref="G53" authorId="0">
      <text>
        <r>
          <rPr>
            <sz val="10"/>
            <rFont val="Arial"/>
            <family val="2"/>
          </rPr>
          <t xml:space="preserve">Shared; dental chair at KCCF</t>
        </r>
      </text>
    </comment>
    <comment ref="G68" authorId="0">
      <text>
        <r>
          <rPr>
            <sz val="10"/>
            <rFont val="Arial"/>
            <family val="2"/>
          </rPr>
          <t xml:space="preserve">Division-wide; based at KCCF</t>
        </r>
      </text>
    </comment>
    <comment ref="G72" authorId="0">
      <text>
        <r>
          <rPr>
            <sz val="10"/>
            <rFont val="Arial"/>
            <family val="2"/>
          </rPr>
          <t xml:space="preserve">Division-wide</t>
        </r>
      </text>
    </comment>
    <comment ref="G73" authorId="0">
      <text>
        <r>
          <rPr>
            <sz val="10"/>
            <rFont val="Arial"/>
            <family val="2"/>
          </rPr>
          <t xml:space="preserve">Division-wide; KCCF-based</t>
        </r>
      </text>
    </comment>
    <comment ref="G74" authorId="0">
      <text>
        <r>
          <rPr>
            <sz val="10"/>
            <rFont val="Arial"/>
            <family val="2"/>
          </rPr>
          <t xml:space="preserve">Division-wide</t>
        </r>
      </text>
    </comment>
    <comment ref="G75" authorId="0">
      <text>
        <r>
          <rPr>
            <sz val="10"/>
            <rFont val="Arial"/>
            <family val="2"/>
          </rPr>
          <t xml:space="preserve">Division-wide</t>
        </r>
      </text>
    </comment>
    <comment ref="G76" authorId="0">
      <text>
        <r>
          <rPr>
            <sz val="10"/>
            <rFont val="Arial"/>
            <family val="2"/>
          </rPr>
          <t xml:space="preserve">Division-wide</t>
        </r>
      </text>
    </comment>
    <comment ref="G77" authorId="0">
      <text>
        <r>
          <rPr>
            <sz val="10"/>
            <rFont val="Arial"/>
            <family val="2"/>
          </rPr>
          <t xml:space="preserve">Division-wide</t>
        </r>
      </text>
    </comment>
    <comment ref="G78" authorId="0">
      <text>
        <r>
          <rPr>
            <sz val="10"/>
            <rFont val="Arial"/>
            <family val="2"/>
          </rPr>
          <t xml:space="preserve">Division-wide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7" authorId="0">
      <text>
        <r>
          <rPr>
            <sz val="10"/>
            <rFont val="Arial"/>
            <family val="2"/>
          </rPr>
          <t xml:space="preserve">20 min/pt/day × 365</t>
        </r>
      </text>
    </comment>
    <comment ref="F10" authorId="0">
      <text>
        <r>
          <rPr>
            <sz val="10"/>
            <rFont val="Arial"/>
            <family val="2"/>
          </rPr>
          <t xml:space="preserve">25 min/pt/day × 365</t>
        </r>
      </text>
    </comment>
    <comment ref="F14" authorId="0">
      <text>
        <r>
          <rPr>
            <sz val="10"/>
            <rFont val="Arial"/>
            <family val="2"/>
          </rPr>
          <t xml:space="preserve">15 min/pt/month × 12</t>
        </r>
      </text>
    </comment>
    <comment ref="F22" authorId="0">
      <text>
        <r>
          <rPr>
            <sz val="10"/>
            <rFont val="Arial"/>
            <family val="2"/>
          </rPr>
          <t xml:space="preserve">90 min/wk ÷ 12-pt group × 52</t>
        </r>
      </text>
    </comment>
    <comment ref="F31" authorId="0">
      <text>
        <r>
          <rPr>
            <sz val="10"/>
            <rFont val="Arial"/>
            <family val="2"/>
          </rPr>
          <t xml:space="preserve">Zero in 2025; scales up July 2026</t>
        </r>
      </text>
    </comment>
    <comment ref="F46" authorId="0">
      <text>
        <r>
          <rPr>
            <sz val="10"/>
            <rFont val="Arial"/>
            <family val="2"/>
          </rPr>
          <t xml:space="preserve">10 min/pt/month × 12</t>
        </r>
      </text>
    </comment>
    <comment ref="F49" authorId="0">
      <text>
        <r>
          <rPr>
            <sz val="10"/>
            <rFont val="Arial"/>
            <family val="2"/>
          </rPr>
          <t xml:space="preserve">8 min/pt/month × 12</t>
        </r>
      </text>
    </comment>
    <comment ref="F50" authorId="0">
      <text>
        <r>
          <rPr>
            <sz val="10"/>
            <rFont val="Arial"/>
            <family val="2"/>
          </rPr>
          <t xml:space="preserve">10 min/pt/day × 365</t>
        </r>
      </text>
    </comment>
    <comment ref="F54" authorId="0">
      <text>
        <r>
          <rPr>
            <sz val="10"/>
            <rFont val="Arial"/>
            <family val="2"/>
          </rPr>
          <t xml:space="preserve">0.5 min per dispense event</t>
        </r>
      </text>
    </comment>
    <comment ref="G8" authorId="0">
      <text>
        <r>
          <rPr>
            <sz val="10"/>
            <rFont val="Arial"/>
            <family val="2"/>
          </rPr>
          <t xml:space="preserve">KCCF is primary psych housing; MRJC staffed from general nursing pool</t>
        </r>
      </text>
    </comment>
    <comment ref="G19" authorId="0">
      <text>
        <r>
          <rPr>
            <sz val="10"/>
            <rFont val="Arial"/>
            <family val="2"/>
          </rPr>
          <t xml:space="preserve">Caseload split by facility</t>
        </r>
      </text>
    </comment>
    <comment ref="G42" authorId="0">
      <text>
        <r>
          <rPr>
            <sz val="10"/>
            <rFont val="Arial"/>
            <family val="2"/>
          </rPr>
          <t xml:space="preserve">Single lead across both facilities</t>
        </r>
      </text>
    </comment>
    <comment ref="G43" authorId="0">
      <text>
        <r>
          <rPr>
            <sz val="10"/>
            <rFont val="Arial"/>
            <family val="2"/>
          </rPr>
          <t xml:space="preserve">Shared across both facilities</t>
        </r>
      </text>
    </comment>
    <comment ref="G44" authorId="0">
      <text>
        <r>
          <rPr>
            <sz val="10"/>
            <rFont val="Arial"/>
            <family val="2"/>
          </rPr>
          <t xml:space="preserve">Shared 24/7 on-call pool</t>
        </r>
      </text>
    </comment>
    <comment ref="G53" authorId="0">
      <text>
        <r>
          <rPr>
            <sz val="10"/>
            <rFont val="Arial"/>
            <family val="2"/>
          </rPr>
          <t xml:space="preserve">Shared; dental chair at KCCF</t>
        </r>
      </text>
    </comment>
    <comment ref="G68" authorId="0">
      <text>
        <r>
          <rPr>
            <sz val="10"/>
            <rFont val="Arial"/>
            <family val="2"/>
          </rPr>
          <t xml:space="preserve">Division-wide; based at KCCF</t>
        </r>
      </text>
    </comment>
    <comment ref="G72" authorId="0">
      <text>
        <r>
          <rPr>
            <sz val="10"/>
            <rFont val="Arial"/>
            <family val="2"/>
          </rPr>
          <t xml:space="preserve">Division-wide</t>
        </r>
      </text>
    </comment>
    <comment ref="G73" authorId="0">
      <text>
        <r>
          <rPr>
            <sz val="10"/>
            <rFont val="Arial"/>
            <family val="2"/>
          </rPr>
          <t xml:space="preserve">Division-wide; KCCF-based</t>
        </r>
      </text>
    </comment>
    <comment ref="G74" authorId="0">
      <text>
        <r>
          <rPr>
            <sz val="10"/>
            <rFont val="Arial"/>
            <family val="2"/>
          </rPr>
          <t xml:space="preserve">Division-wide</t>
        </r>
      </text>
    </comment>
    <comment ref="G75" authorId="0">
      <text>
        <r>
          <rPr>
            <sz val="10"/>
            <rFont val="Arial"/>
            <family val="2"/>
          </rPr>
          <t xml:space="preserve">Division-wide</t>
        </r>
      </text>
    </comment>
    <comment ref="G76" authorId="0">
      <text>
        <r>
          <rPr>
            <sz val="10"/>
            <rFont val="Arial"/>
            <family val="2"/>
          </rPr>
          <t xml:space="preserve">Division-wide</t>
        </r>
      </text>
    </comment>
    <comment ref="G77" authorId="0">
      <text>
        <r>
          <rPr>
            <sz val="10"/>
            <rFont val="Arial"/>
            <family val="2"/>
          </rPr>
          <t xml:space="preserve">Division-wide</t>
        </r>
      </text>
    </comment>
    <comment ref="G78" authorId="0">
      <text>
        <r>
          <rPr>
            <sz val="10"/>
            <rFont val="Arial"/>
            <family val="2"/>
          </rPr>
          <t xml:space="preserve">Division-wide</t>
        </r>
      </text>
    </comment>
  </commentList>
</comments>
</file>

<file path=xl/sharedStrings.xml><?xml version="1.0" encoding="utf-8"?>
<sst xmlns="http://schemas.openxmlformats.org/spreadsheetml/2006/main" count="1097" uniqueCount="262">
  <si>
    <t xml:space="preserve">JHS BEHAVIORAL HEALTH STAFFING MODEL — V2 (Facility-Split)</t>
  </si>
  <si>
    <t xml:space="preserve">KCCF and MRJC calculated independently from 2025 workload volumes</t>
  </si>
  <si>
    <t xml:space="preserve">What's new in V2</t>
  </si>
  <si>
    <t xml:space="preserve">Every activity is now calculated separately for KCCF and MRJC using that facility's actual 2025 workload volumes from the synthetic dataset. For per-position activities, positions are specified per facility (e.g., infirmary RN coverage is 3 positions at KCCF and 3 at MRJC rather than 6 combined). The Summary sheet rolls up by role × facility so you can see each facility's gap against its share of current Division FTE.</t>
  </si>
  <si>
    <t xml:space="preserve">Why this matters</t>
  </si>
  <si>
    <t xml:space="preserve">KCCF carries more bookings (11,051 vs 6,905), more psych-housing census (67 vs 52), and is the primary psychiatric housing location — but MRJC has a materially larger MOUD census (123 vs 82 per the Jan 2026 snapshot). A facility-split model shows leadership not just 'we need more FTE' but 'we need more nursing at KCCF and more MOUD-adjacent staffing at MRJC.'</t>
  </si>
  <si>
    <t xml:space="preserve">Method (unchanged from V1)</t>
  </si>
  <si>
    <t xml:space="preserve">   • Per-encounter: FTE = (Annual Volume × Minutes per Unit) ÷ Productive Minutes per FTE per Year</t>
  </si>
  <si>
    <t xml:space="preserve">   • Per-position:   FTE = Positions × Coverage Factor</t>
  </si>
  <si>
    <t xml:space="preserve">   • Productive minutes per FTE = 2,080 hrs × (1 − 20% non-productive) × 60 = 99,840 min</t>
  </si>
  <si>
    <t xml:space="preserve">Sheets</t>
  </si>
  <si>
    <t xml:space="preserve">   1. README — this sheet</t>
  </si>
  <si>
    <t xml:space="preserve">   2. Volumes_2025 — annual activity volumes, split by facility</t>
  </si>
  <si>
    <t xml:space="preserve">   3. Productivity — global productivity assumptions</t>
  </si>
  <si>
    <t xml:space="preserve">   4. Coverage_Factors — FTE multipliers per coverage pattern</t>
  </si>
  <si>
    <t xml:space="preserve">   5. Staffing_Model_KCCF — all activities calculated with KCCF volumes</t>
  </si>
  <si>
    <t xml:space="preserve">   6. Staffing_Model_MRJC — all activities calculated with MRJC volumes</t>
  </si>
  <si>
    <t xml:space="preserve">   7. Summary — roll-up by role × facility with gap analysis</t>
  </si>
  <si>
    <t xml:space="preserve">   8. Scenarios — FTE impact of 2026 initiatives by facility</t>
  </si>
  <si>
    <t xml:space="preserve">Tuning</t>
  </si>
  <si>
    <t xml:space="preserve">Time standards and positions are editable on each facility tab (blue text on yellow). All calculations live-update. For a real budget submission, validate every time-per-unit with the role-group lead responsible for the service at that facility — KCCF and MRJC have different physical layouts and service intensities, so the same activity may legitimately take different amounts of time at each site.</t>
  </si>
  <si>
    <t xml:space="preserve">2025 Activity Volumes — by Facility</t>
  </si>
  <si>
    <t xml:space="preserve">Activity</t>
  </si>
  <si>
    <t xml:space="preserve">KCCF</t>
  </si>
  <si>
    <t xml:space="preserve">MRJC</t>
  </si>
  <si>
    <t xml:space="preserve">Total</t>
  </si>
  <si>
    <t xml:space="preserve">Source / notes</t>
  </si>
  <si>
    <t xml:space="preserve">adp_avg_combined</t>
  </si>
  <si>
    <t xml:space="preserve">Average daily population</t>
  </si>
  <si>
    <t xml:space="preserve">bookings_annual</t>
  </si>
  <si>
    <t xml:space="preserve">KCCF is primary booking facility</t>
  </si>
  <si>
    <t xml:space="preserve">releases_annual</t>
  </si>
  <si>
    <t xml:space="preserve">Approximately equal to bookings</t>
  </si>
  <si>
    <t xml:space="preserve">releases_after_hours_annual</t>
  </si>
  <si>
    <t xml:space="preserve">Outside 12-hr pharmacy/coord-discharge window</t>
  </si>
  <si>
    <t xml:space="preserve">bh_med_orders_annual</t>
  </si>
  <si>
    <t xml:space="preserve">~18% of bookings per 2023 audit</t>
  </si>
  <si>
    <t xml:space="preserve">med_changes_annual</t>
  </si>
  <si>
    <t xml:space="preserve">Changes + discontinuations at booking (Audit Rec #6)</t>
  </si>
  <si>
    <t xml:space="preserve">psych_clinic_appts_completed</t>
  </si>
  <si>
    <t xml:space="preserve">General-population completed clinic appts</t>
  </si>
  <si>
    <t xml:space="preserve">psych_housing_appts_completed</t>
  </si>
  <si>
    <t xml:space="preserve">Psych-housing completed appts</t>
  </si>
  <si>
    <t xml:space="preserve">psych_housing_census_avg</t>
  </si>
  <si>
    <t xml:space="preserve">KCCF is primary psychiatric housing site</t>
  </si>
  <si>
    <t xml:space="preserve">infirmary_census_avg</t>
  </si>
  <si>
    <t xml:space="preserve">Average patients in 24-hr skilled nursing</t>
  </si>
  <si>
    <t xml:space="preserve">suicide_watch_avg</t>
  </si>
  <si>
    <t xml:space="preserve">DAJD-supervised; RN oversight required</t>
  </si>
  <si>
    <t xml:space="preserve">sick_call_annual</t>
  </si>
  <si>
    <t xml:space="preserve">Unscheduled clinical demand</t>
  </si>
  <si>
    <t xml:space="preserve">clinic_visits_annual</t>
  </si>
  <si>
    <t xml:space="preserve">Completed provider clinic visits</t>
  </si>
  <si>
    <t xml:space="preserve">med_passes_annual</t>
  </si>
  <si>
    <t xml:space="preserve">Nursing medication administration events</t>
  </si>
  <si>
    <t xml:space="preserve">ed_transfers_annual</t>
  </si>
  <si>
    <t xml:space="preserve">Escalations to Harborview / Valley</t>
  </si>
  <si>
    <t xml:space="preserve">moud_census_avg</t>
  </si>
  <si>
    <t xml:space="preserve">MRJC carries larger MOUD census (per Jan 2026 data)</t>
  </si>
  <si>
    <t xml:space="preserve">lai_inductions_annual</t>
  </si>
  <si>
    <t xml:space="preserve">Long-acting injectable inductions + continuations</t>
  </si>
  <si>
    <t xml:space="preserve">suboxone_inductions_annual</t>
  </si>
  <si>
    <t xml:space="preserve">Buprenorphine starts</t>
  </si>
  <si>
    <t xml:space="preserve">withdrawal_mgmt_census_avg</t>
  </si>
  <si>
    <t xml:space="preserve">Detox monitoring, daily average</t>
  </si>
  <si>
    <t xml:space="preserve">sud_assessments_annual</t>
  </si>
  <si>
    <t xml:space="preserve">SUD assessments completed</t>
  </si>
  <si>
    <t xml:space="preserve">overdose_incidents_annual</t>
  </si>
  <si>
    <t xml:space="preserve">In-custody overdoses</t>
  </si>
  <si>
    <t xml:space="preserve">bh_release_eligible_annual</t>
  </si>
  <si>
    <t xml:space="preserve">Releases on BH meds (denominator)</t>
  </si>
  <si>
    <t xml:space="preserve">bh_release_provided_annual</t>
  </si>
  <si>
    <t xml:space="preserve">Releases who received a BH-med supply (Audit Rec #7)</t>
  </si>
  <si>
    <t xml:space="preserve">coord_discharge_caseload_avg</t>
  </si>
  <si>
    <t xml:space="preserve">Social-services caseload, daily average</t>
  </si>
  <si>
    <t xml:space="preserve">warm_handoffs_annual</t>
  </si>
  <si>
    <t xml:space="preserve">Warm handoffs to community providers</t>
  </si>
  <si>
    <t xml:space="preserve">community_referrals_annual</t>
  </si>
  <si>
    <t xml:space="preserve">Housing / treatment / benefits referrals</t>
  </si>
  <si>
    <t xml:space="preserve">kite_mh_requests_annual</t>
  </si>
  <si>
    <t xml:space="preserve">Patient-initiated mental-health KITEs</t>
  </si>
  <si>
    <t xml:space="preserve">crisis_counseling_annual</t>
  </si>
  <si>
    <t xml:space="preserve">Unscheduled crisis events</t>
  </si>
  <si>
    <t xml:space="preserve">ita_evaluations_annual</t>
  </si>
  <si>
    <t xml:space="preserve">Involuntary-treatment evaluations</t>
  </si>
  <si>
    <t xml:space="preserve">intake_tb_screening_annual</t>
  </si>
  <si>
    <t xml:space="preserve">Every intake</t>
  </si>
  <si>
    <t xml:space="preserve">hiv_std_tests_annual</t>
  </si>
  <si>
    <t xml:space="preserve">In-custody HIV/STD testing</t>
  </si>
  <si>
    <t xml:space="preserve">grievances_bh_annual</t>
  </si>
  <si>
    <t xml:space="preserve">BH-related grievances</t>
  </si>
  <si>
    <t xml:space="preserve">grievances_ada_annual</t>
  </si>
  <si>
    <t xml:space="preserve">ADA-related grievances</t>
  </si>
  <si>
    <t xml:space="preserve">pregnancy_census_avg</t>
  </si>
  <si>
    <t xml:space="preserve">KCCF only (women's facility)</t>
  </si>
  <si>
    <t xml:space="preserve">pre_release_services_annual</t>
  </si>
  <si>
    <t xml:space="preserve">1115 Waiver — live July 1, 2026 (zero in 2025)</t>
  </si>
  <si>
    <t xml:space="preserve">medicaid_reimbursable_encounters_annual</t>
  </si>
  <si>
    <t xml:space="preserve">1115 Waiver — zero in 2025</t>
  </si>
  <si>
    <t xml:space="preserve">Global Productivity Assumptions</t>
  </si>
  <si>
    <t xml:space="preserve">Assumption</t>
  </si>
  <si>
    <t xml:space="preserve">Value</t>
  </si>
  <si>
    <t xml:space="preserve">annual_hours_per_fte</t>
  </si>
  <si>
    <t xml:space="preserve">Standard 40 hrs × 52 weeks</t>
  </si>
  <si>
    <t xml:space="preserve">nonproductive_rate</t>
  </si>
  <si>
    <t xml:space="preserve">PTO, sick, training, meetings, admin overhead</t>
  </si>
  <si>
    <t xml:space="preserve">productive_hours_per_fte</t>
  </si>
  <si>
    <t xml:space="preserve">Formula: annual × (1 − non-productive)</t>
  </si>
  <si>
    <t xml:space="preserve">productive_minutes_per_fte</t>
  </si>
  <si>
    <t xml:space="preserve">Used as denominator for per-encounter FTE calculations</t>
  </si>
  <si>
    <t xml:space="preserve">Coverage Factors for Per-Position Staffing</t>
  </si>
  <si>
    <t xml:space="preserve">Coverage pattern</t>
  </si>
  <si>
    <t xml:space="preserve">FTE per position</t>
  </si>
  <si>
    <t xml:space="preserve">Notes</t>
  </si>
  <si>
    <t xml:space="preserve">24_7_single_point</t>
  </si>
  <si>
    <t xml:space="preserve">8,760 hrs/yr ÷ 2,080 productive = 4.21. Use for infirmary, charge nurse, on-call.</t>
  </si>
  <si>
    <t xml:space="preserve">7_day_12_hour</t>
  </si>
  <si>
    <t xml:space="preserve">4,380 hrs/yr ÷ 2,080. For 12-hr coverage 7 days/wk (e.g., pharmacy).</t>
  </si>
  <si>
    <t xml:space="preserve">5_day_8_hour</t>
  </si>
  <si>
    <t xml:space="preserve">2,080 hrs/yr ÷ 2,080. Standard weekday day-shift role.</t>
  </si>
  <si>
    <t xml:space="preserve">5_day_8_hour_with_pto_buffer</t>
  </si>
  <si>
    <t xml:space="preserve">1.0 × 1.2 buffer for leave. Common for supervisors.</t>
  </si>
  <si>
    <t xml:space="preserve">12_hour_overnight_coverage</t>
  </si>
  <si>
    <t xml:space="preserve">For partial-shift coverage e.g., evening/night PES</t>
  </si>
  <si>
    <t xml:space="preserve">on_call_overlay</t>
  </si>
  <si>
    <t xml:space="preserve">Additional fractional FTE for 24/7 on-call beyond day coverage</t>
  </si>
  <si>
    <t xml:space="preserve">Staffing Model — KCCF</t>
  </si>
  <si>
    <t xml:space="preserve">Role Group</t>
  </si>
  <si>
    <t xml:space="preserve">Volume Driver</t>
  </si>
  <si>
    <t xml:space="preserve">Calc Type</t>
  </si>
  <si>
    <t xml:space="preserve">Annual Volume</t>
  </si>
  <si>
    <t xml:space="preserve">Min per Unit</t>
  </si>
  <si>
    <t xml:space="preserve">Positions</t>
  </si>
  <si>
    <t xml:space="preserve">Coverage Factor</t>
  </si>
  <si>
    <t xml:space="preserve">Required FTE</t>
  </si>
  <si>
    <t xml:space="preserve">Nursing Services</t>
  </si>
  <si>
    <t xml:space="preserve">Intake health review / BH screen</t>
  </si>
  <si>
    <t xml:space="preserve">per-encounter</t>
  </si>
  <si>
    <t xml:space="preserve">—</t>
  </si>
  <si>
    <t xml:space="preserve">Medication administration (med pass)</t>
  </si>
  <si>
    <t xml:space="preserve">Infirmary RN coverage (24/7)</t>
  </si>
  <si>
    <t xml:space="preserve">per-position</t>
  </si>
  <si>
    <t xml:space="preserve">Psych housing nursing rounds</t>
  </si>
  <si>
    <t xml:space="preserve">Psych housing RN floor coverage (12hr)</t>
  </si>
  <si>
    <t xml:space="preserve">Suicide watch RN oversight (24/7)</t>
  </si>
  <si>
    <t xml:space="preserve">Withdrawal management nursing</t>
  </si>
  <si>
    <t xml:space="preserve">Sick call triage &amp; response</t>
  </si>
  <si>
    <t xml:space="preserve">Clinic floor nursing support</t>
  </si>
  <si>
    <t xml:space="preserve">KITE MH triage</t>
  </si>
  <si>
    <t xml:space="preserve">Chronic disease mgmt nursing</t>
  </si>
  <si>
    <t xml:space="preserve">Charge nurse positions</t>
  </si>
  <si>
    <t xml:space="preserve">HIV/STD testing nursing</t>
  </si>
  <si>
    <t xml:space="preserve">Nurse supervisors</t>
  </si>
  <si>
    <t xml:space="preserve">Social Services</t>
  </si>
  <si>
    <t xml:space="preserve">Release planning encounter work</t>
  </si>
  <si>
    <t xml:space="preserve">Coord. discharge social workers</t>
  </si>
  <si>
    <t xml:space="preserve">SUD assessment &amp; counseling</t>
  </si>
  <si>
    <t xml:space="preserve">SUD professionals (program)</t>
  </si>
  <si>
    <t xml:space="preserve">MOUD group sessions encounter</t>
  </si>
  <si>
    <t xml:space="preserve">Senior social workers / senior SUD</t>
  </si>
  <si>
    <t xml:space="preserve">Community diversion coordinators</t>
  </si>
  <si>
    <t xml:space="preserve">Community diversion support specialists</t>
  </si>
  <si>
    <t xml:space="preserve">Court clinicians (therapeutic courts)</t>
  </si>
  <si>
    <t xml:space="preserve">Court services support specialists</t>
  </si>
  <si>
    <t xml:space="preserve">Community health workers (peer support)</t>
  </si>
  <si>
    <t xml:space="preserve">Warm handoffs</t>
  </si>
  <si>
    <t xml:space="preserve">Community referrals</t>
  </si>
  <si>
    <t xml:space="preserve">Pre-release services (1115 Waiver)</t>
  </si>
  <si>
    <t xml:space="preserve">Program managers (Social Services, Coord Discharge, Diversion)</t>
  </si>
  <si>
    <t xml:space="preserve">Social Services Mgr + Clinical Supervisors</t>
  </si>
  <si>
    <t xml:space="preserve">Reentry Demo project manager + assistant</t>
  </si>
  <si>
    <t xml:space="preserve">Psychiatric Services</t>
  </si>
  <si>
    <t xml:space="preserve">Psych clinic encounters (provider)</t>
  </si>
  <si>
    <t xml:space="preserve">Psych housing encounters (provider)</t>
  </si>
  <si>
    <t xml:space="preserve">Crisis counseling events</t>
  </si>
  <si>
    <t xml:space="preserve">ITA evaluations</t>
  </si>
  <si>
    <t xml:space="preserve">Documentation + chart review overhead</t>
  </si>
  <si>
    <t xml:space="preserve">Psychiatric Evaluation Specialists (PES)</t>
  </si>
  <si>
    <t xml:space="preserve">PES evening/weekend coverage</t>
  </si>
  <si>
    <t xml:space="preserve">Lead psychiatrist</t>
  </si>
  <si>
    <t xml:space="preserve">PES supervisor</t>
  </si>
  <si>
    <t xml:space="preserve">On-call psychiatric coverage</t>
  </si>
  <si>
    <t xml:space="preserve">Medical &amp; Dental Providers</t>
  </si>
  <si>
    <t xml:space="preserve">Sick call provider visits</t>
  </si>
  <si>
    <t xml:space="preserve">Chronic disease mgmt provider</t>
  </si>
  <si>
    <t xml:space="preserve">MOUD prescribing (induction)</t>
  </si>
  <si>
    <t xml:space="preserve">LAI prescribing visits</t>
  </si>
  <si>
    <t xml:space="preserve">Dental care</t>
  </si>
  <si>
    <t xml:space="preserve">Infirmary provider rounds</t>
  </si>
  <si>
    <t xml:space="preserve">Specialty referral coordination</t>
  </si>
  <si>
    <t xml:space="preserve">Medical director / deputy</t>
  </si>
  <si>
    <t xml:space="preserve">Lead dentist</t>
  </si>
  <si>
    <t xml:space="preserve">Pharmacy Services</t>
  </si>
  <si>
    <t xml:space="preserve">Medication order dispense</t>
  </si>
  <si>
    <t xml:space="preserve">MOUD induction pharmacy prep</t>
  </si>
  <si>
    <t xml:space="preserve">LAI preparation &amp; verification</t>
  </si>
  <si>
    <t xml:space="preserve">Release medication prep</t>
  </si>
  <si>
    <t xml:space="preserve">Core pharmacist coverage (12hr × 7)</t>
  </si>
  <si>
    <t xml:space="preserve">Pharmacy technicians (12hr × 7)</t>
  </si>
  <si>
    <t xml:space="preserve">Pharmacy supervisors</t>
  </si>
  <si>
    <t xml:space="preserve">Health Info &amp; Clinical Apps</t>
  </si>
  <si>
    <t xml:space="preserve">Records mgmt per booking</t>
  </si>
  <si>
    <t xml:space="preserve">Release records processing</t>
  </si>
  <si>
    <t xml:space="preserve">Scheduling / clinical apps support</t>
  </si>
  <si>
    <t xml:space="preserve">EPIC support &amp; clinical optimization</t>
  </si>
  <si>
    <t xml:space="preserve">Data / informatics</t>
  </si>
  <si>
    <t xml:space="preserve">HIM supervisors &amp; admin specialists</t>
  </si>
  <si>
    <t xml:space="preserve">Clinical Operations</t>
  </si>
  <si>
    <t xml:space="preserve">Site ops managers</t>
  </si>
  <si>
    <t xml:space="preserve">Health ops manager &amp; regional admin</t>
  </si>
  <si>
    <t xml:space="preserve">Supply / inventory specialists</t>
  </si>
  <si>
    <t xml:space="preserve">Disease research &amp; intervention</t>
  </si>
  <si>
    <t xml:space="preserve">Court services coordinators</t>
  </si>
  <si>
    <t xml:space="preserve">Clinical staff scheduler</t>
  </si>
  <si>
    <t xml:space="preserve">Administration</t>
  </si>
  <si>
    <t xml:space="preserve">Finance administration</t>
  </si>
  <si>
    <t xml:space="preserve">HR administration</t>
  </si>
  <si>
    <t xml:space="preserve">Accreditation program mgr</t>
  </si>
  <si>
    <t xml:space="preserve">Training administration</t>
  </si>
  <si>
    <t xml:space="preserve">Equity / inclusion manager</t>
  </si>
  <si>
    <t xml:space="preserve">Division leadership (Director + Deputy)</t>
  </si>
  <si>
    <t xml:space="preserve">Staffing Model — MRJC</t>
  </si>
  <si>
    <t xml:space="preserve">Staffing Model Summary — FTE by Role × Facility</t>
  </si>
  <si>
    <t xml:space="preserve">KCCF Required</t>
  </si>
  <si>
    <t xml:space="preserve">MRJC Required</t>
  </si>
  <si>
    <t xml:space="preserve">Total Required</t>
  </si>
  <si>
    <t xml:space="preserve">Target Share</t>
  </si>
  <si>
    <t xml:space="preserve">Current Filled (est.)</t>
  </si>
  <si>
    <t xml:space="preserve">Gap vs Current</t>
  </si>
  <si>
    <t xml:space="preserve">% Over/Under</t>
  </si>
  <si>
    <t xml:space="preserve">TOTAL</t>
  </si>
  <si>
    <t xml:space="preserve">Division baseline FTE:</t>
  </si>
  <si>
    <t xml:space="preserve">(From Feb 4, 2026 JHS Council presentation — '250+ employees, $60M+ budget')</t>
  </si>
  <si>
    <t xml:space="preserve">Total by Facility</t>
  </si>
  <si>
    <t xml:space="preserve">KCCF Total Required FTE</t>
  </si>
  <si>
    <t xml:space="preserve">MRJC Total Required FTE</t>
  </si>
  <si>
    <t xml:space="preserve">Combined Total Required FTE</t>
  </si>
  <si>
    <t xml:space="preserve">Scenario Modeling — Incremental FTE for 2026 Initiatives by Facility</t>
  </si>
  <si>
    <t xml:space="preserve">Scenario</t>
  </si>
  <si>
    <t xml:space="preserve">KCCF Δ</t>
  </si>
  <si>
    <t xml:space="preserve">MRJC Δ</t>
  </si>
  <si>
    <t xml:space="preserve">Total Δ</t>
  </si>
  <si>
    <t xml:space="preserve">New Total</t>
  </si>
  <si>
    <t xml:space="preserve">Baseline (current 2025)</t>
  </si>
  <si>
    <t xml:space="preserve">Full-year 2025 workload at current service standards.</t>
  </si>
  <si>
    <t xml:space="preserve">Rec #1: tightened wait-time standard (25-day median)</t>
  </si>
  <si>
    <t xml:space="preserve">+6 Psychiatric Services total; ~even split. 1-2 providers + 1-2 PES per facility.</t>
  </si>
  <si>
    <t xml:space="preserve">Rec #7/9: 14-day release supply for all eligible</t>
  </si>
  <si>
    <t xml:space="preserve">+8 across pharmacy, social services, nursing. KCCF-heavier due to bigger release volume.</t>
  </si>
  <si>
    <t xml:space="preserve">Rec #8: 24/7 release pharmacy &amp; planning</t>
  </si>
  <si>
    <t xml:space="preserve">+11 across both sites; KCCF absorbs more because of higher after-hours release volume.</t>
  </si>
  <si>
    <t xml:space="preserve">1115 Waiver go-live (July 2026) first 6 months</t>
  </si>
  <si>
    <t xml:space="preserve">+15 Social Services + HI&amp;CA + Admin. Load follows release volume.</t>
  </si>
  <si>
    <t xml:space="preserve">1115 Waiver + 30-day supply for ALL releases</t>
  </si>
  <si>
    <t xml:space="preserve">+24 cumulative. Pharmacy dominates the incremental load.</t>
  </si>
  <si>
    <t xml:space="preserve">MOUD census doubles to ~480 (projected 2027)</t>
  </si>
  <si>
    <t xml:space="preserve">+7 nursing / pharmacy / medical. MRJC-heavier: larger MOUD census.</t>
  </si>
  <si>
    <t xml:space="preserve">NCCHC BH-standard adoption (Rec #12) ongoing</t>
  </si>
  <si>
    <t xml:space="preserve">+2 accreditation &amp; QI; Division-wide, based at KCCF.</t>
  </si>
  <si>
    <t xml:space="preserve">All 2026 initiatives combined (Dec 2026 end-state)</t>
  </si>
  <si>
    <t xml:space="preserve">Rec #1 + Rec #7/8/9 (14-day) + 1115 Waiver + MOUD growth + NCCHC.</t>
  </si>
  <si>
    <t xml:space="preserve">Note: Facility-level ΔFTE values are design estimates based on the activity math in the Staffing_Model sheets. For a formal budget request, re-run the per-facility sheets with updated volumes / standards for each scenario.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</si>
</sst>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0"/>
    <numFmt numFmtId="168" formatCode="0.0"/>
    <numFmt numFmtId="169" formatCode="0"/>
    <numFmt numFmtId="170" formatCode="\+0.0;\-0.0;0.0"/>
    <numFmt numFmtId="171" formatCode="\+0.0%;\-0.0%;0.0%"/>
    <numFmt numFmtId="172" formatCode="\+0;\-0;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AEFE3"/>
      </patternFill>
    </fill>
    <fill>
      <patternFill patternType="solid">
        <fgColor rgb="FFE2EFDA"/>
        <bgColor rgb="FFE8F1FA"/>
      </patternFill>
    </fill>
    <fill>
      <patternFill patternType="solid">
        <fgColor rgb="FFF2F2F2"/>
        <bgColor rgb="FFE8F1FA"/>
      </patternFill>
    </fill>
    <fill>
      <patternFill patternType="solid">
        <fgColor rgb="FFE8F1FA"/>
        <bgColor rgb="FFF2F2F2"/>
      </patternFill>
    </fill>
    <fill>
      <patternFill patternType="solid">
        <fgColor rgb="FFFAEFE3"/>
        <bgColor rgb="FFF2F2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1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AEF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6.15" hidden="false" customHeight="false" outlineLevel="0" collapsed="false">
      <c r="A4" s="4" t="s">
        <v>2</v>
      </c>
    </row>
    <row r="5" customFormat="false" ht="52.2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6.15" hidden="false" customHeight="false" outlineLevel="0" collapsed="false">
      <c r="A7" s="4" t="s">
        <v>4</v>
      </c>
    </row>
    <row r="8" customFormat="false" ht="52.2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6.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6.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/>
    </row>
    <row r="25" customFormat="false" ht="16.15" hidden="false" customHeight="false" outlineLevel="0" collapsed="false">
      <c r="A25" s="4" t="s">
        <v>19</v>
      </c>
    </row>
    <row r="26" customFormat="false" ht="52.2" hidden="false" customHeight="false" outlineLevel="0" collapsed="false">
      <c r="A26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2" style="0" width="14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5" t="s">
        <v>21</v>
      </c>
      <c r="B1" s="5"/>
      <c r="C1" s="5"/>
      <c r="D1" s="5"/>
      <c r="E1" s="5"/>
    </row>
    <row r="3" customFormat="false" ht="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</row>
    <row r="4" customFormat="false" ht="15" hidden="false" customHeight="false" outlineLevel="0" collapsed="false">
      <c r="A4" s="7" t="s">
        <v>27</v>
      </c>
      <c r="B4" s="8" t="n">
        <v>790</v>
      </c>
      <c r="C4" s="8" t="n">
        <v>621</v>
      </c>
      <c r="D4" s="9" t="n">
        <f aca="false">B4+C4</f>
        <v>1411</v>
      </c>
      <c r="E4" s="10" t="s">
        <v>28</v>
      </c>
    </row>
    <row r="5" customFormat="false" ht="15" hidden="false" customHeight="false" outlineLevel="0" collapsed="false">
      <c r="A5" s="7" t="s">
        <v>29</v>
      </c>
      <c r="B5" s="8" t="n">
        <v>11051</v>
      </c>
      <c r="C5" s="8" t="n">
        <v>6905</v>
      </c>
      <c r="D5" s="9" t="n">
        <f aca="false">B5+C5</f>
        <v>17956</v>
      </c>
      <c r="E5" s="10" t="s">
        <v>30</v>
      </c>
    </row>
    <row r="6" customFormat="false" ht="15" hidden="false" customHeight="false" outlineLevel="0" collapsed="false">
      <c r="A6" s="7" t="s">
        <v>31</v>
      </c>
      <c r="B6" s="8" t="n">
        <v>10749</v>
      </c>
      <c r="C6" s="8" t="n">
        <v>6694</v>
      </c>
      <c r="D6" s="9" t="n">
        <f aca="false">B6+C6</f>
        <v>17443</v>
      </c>
      <c r="E6" s="10" t="s">
        <v>32</v>
      </c>
    </row>
    <row r="7" customFormat="false" ht="15" hidden="false" customHeight="false" outlineLevel="0" collapsed="false">
      <c r="A7" s="7" t="s">
        <v>33</v>
      </c>
      <c r="B7" s="8" t="n">
        <v>2771</v>
      </c>
      <c r="C7" s="8" t="n">
        <v>1678</v>
      </c>
      <c r="D7" s="9" t="n">
        <f aca="false">B7+C7</f>
        <v>4449</v>
      </c>
      <c r="E7" s="10" t="s">
        <v>34</v>
      </c>
    </row>
    <row r="8" customFormat="false" ht="15" hidden="false" customHeight="false" outlineLevel="0" collapsed="false">
      <c r="A8" s="7" t="s">
        <v>35</v>
      </c>
      <c r="B8" s="8" t="n">
        <v>1798</v>
      </c>
      <c r="C8" s="8" t="n">
        <v>1063</v>
      </c>
      <c r="D8" s="9" t="n">
        <f aca="false">B8+C8</f>
        <v>2861</v>
      </c>
      <c r="E8" s="10" t="s">
        <v>36</v>
      </c>
    </row>
    <row r="9" customFormat="false" ht="15" hidden="false" customHeight="false" outlineLevel="0" collapsed="false">
      <c r="A9" s="7" t="s">
        <v>37</v>
      </c>
      <c r="B9" s="8" t="n">
        <v>30</v>
      </c>
      <c r="C9" s="8" t="n">
        <v>0</v>
      </c>
      <c r="D9" s="9" t="n">
        <f aca="false">B9+C9</f>
        <v>30</v>
      </c>
      <c r="E9" s="10" t="s">
        <v>38</v>
      </c>
    </row>
    <row r="10" customFormat="false" ht="15" hidden="false" customHeight="false" outlineLevel="0" collapsed="false">
      <c r="A10" s="7" t="s">
        <v>39</v>
      </c>
      <c r="B10" s="8" t="n">
        <v>1947</v>
      </c>
      <c r="C10" s="8" t="n">
        <v>2020</v>
      </c>
      <c r="D10" s="9" t="n">
        <f aca="false">B10+C10</f>
        <v>3967</v>
      </c>
      <c r="E10" s="10" t="s">
        <v>40</v>
      </c>
    </row>
    <row r="11" customFormat="false" ht="15" hidden="false" customHeight="false" outlineLevel="0" collapsed="false">
      <c r="A11" s="7" t="s">
        <v>41</v>
      </c>
      <c r="B11" s="8" t="n">
        <v>3493</v>
      </c>
      <c r="C11" s="8" t="n">
        <v>3451</v>
      </c>
      <c r="D11" s="9" t="n">
        <f aca="false">B11+C11</f>
        <v>6944</v>
      </c>
      <c r="E11" s="10" t="s">
        <v>42</v>
      </c>
    </row>
    <row r="12" customFormat="false" ht="15" hidden="false" customHeight="false" outlineLevel="0" collapsed="false">
      <c r="A12" s="7" t="s">
        <v>43</v>
      </c>
      <c r="B12" s="8" t="n">
        <v>67</v>
      </c>
      <c r="C12" s="8" t="n">
        <v>52</v>
      </c>
      <c r="D12" s="9" t="n">
        <f aca="false">B12+C12</f>
        <v>119</v>
      </c>
      <c r="E12" s="10" t="s">
        <v>44</v>
      </c>
    </row>
    <row r="13" customFormat="false" ht="15" hidden="false" customHeight="false" outlineLevel="0" collapsed="false">
      <c r="A13" s="7" t="s">
        <v>45</v>
      </c>
      <c r="B13" s="8" t="n">
        <v>39</v>
      </c>
      <c r="C13" s="8" t="n">
        <v>30</v>
      </c>
      <c r="D13" s="9" t="n">
        <f aca="false">B13+C13</f>
        <v>69</v>
      </c>
      <c r="E13" s="10" t="s">
        <v>46</v>
      </c>
    </row>
    <row r="14" customFormat="false" ht="15" hidden="false" customHeight="false" outlineLevel="0" collapsed="false">
      <c r="A14" s="7" t="s">
        <v>47</v>
      </c>
      <c r="B14" s="8" t="n">
        <v>11</v>
      </c>
      <c r="C14" s="8" t="n">
        <v>8</v>
      </c>
      <c r="D14" s="9" t="n">
        <f aca="false">B14+C14</f>
        <v>19</v>
      </c>
      <c r="E14" s="10" t="s">
        <v>48</v>
      </c>
    </row>
    <row r="15" customFormat="false" ht="15" hidden="false" customHeight="false" outlineLevel="0" collapsed="false">
      <c r="A15" s="7" t="s">
        <v>49</v>
      </c>
      <c r="B15" s="8" t="n">
        <v>15640</v>
      </c>
      <c r="C15" s="8" t="n">
        <v>12224</v>
      </c>
      <c r="D15" s="9" t="n">
        <f aca="false">B15+C15</f>
        <v>27864</v>
      </c>
      <c r="E15" s="10" t="s">
        <v>50</v>
      </c>
    </row>
    <row r="16" customFormat="false" ht="15" hidden="false" customHeight="false" outlineLevel="0" collapsed="false">
      <c r="A16" s="7" t="s">
        <v>51</v>
      </c>
      <c r="B16" s="8" t="n">
        <v>8625</v>
      </c>
      <c r="C16" s="8" t="n">
        <v>6405</v>
      </c>
      <c r="D16" s="9" t="n">
        <f aca="false">B16+C16</f>
        <v>15030</v>
      </c>
      <c r="E16" s="10" t="s">
        <v>52</v>
      </c>
    </row>
    <row r="17" customFormat="false" ht="15" hidden="false" customHeight="false" outlineLevel="0" collapsed="false">
      <c r="A17" s="7" t="s">
        <v>53</v>
      </c>
      <c r="B17" s="8" t="n">
        <v>593190</v>
      </c>
      <c r="C17" s="8" t="n">
        <v>463526</v>
      </c>
      <c r="D17" s="9" t="n">
        <f aca="false">B17+C17</f>
        <v>1056716</v>
      </c>
      <c r="E17" s="10" t="s">
        <v>54</v>
      </c>
    </row>
    <row r="18" customFormat="false" ht="15" hidden="false" customHeight="false" outlineLevel="0" collapsed="false">
      <c r="A18" s="7" t="s">
        <v>55</v>
      </c>
      <c r="B18" s="8" t="n">
        <v>451</v>
      </c>
      <c r="C18" s="8" t="n">
        <v>446</v>
      </c>
      <c r="D18" s="9" t="n">
        <f aca="false">B18+C18</f>
        <v>897</v>
      </c>
      <c r="E18" s="10" t="s">
        <v>56</v>
      </c>
    </row>
    <row r="19" customFormat="false" ht="15" hidden="false" customHeight="false" outlineLevel="0" collapsed="false">
      <c r="A19" s="7" t="s">
        <v>57</v>
      </c>
      <c r="B19" s="8" t="n">
        <v>82</v>
      </c>
      <c r="C19" s="8" t="n">
        <v>123</v>
      </c>
      <c r="D19" s="9" t="n">
        <f aca="false">B19+C19</f>
        <v>205</v>
      </c>
      <c r="E19" s="10" t="s">
        <v>58</v>
      </c>
    </row>
    <row r="20" customFormat="false" ht="15" hidden="false" customHeight="false" outlineLevel="0" collapsed="false">
      <c r="A20" s="7" t="s">
        <v>59</v>
      </c>
      <c r="B20" s="8" t="n">
        <v>419</v>
      </c>
      <c r="C20" s="8" t="n">
        <v>587</v>
      </c>
      <c r="D20" s="9" t="n">
        <f aca="false">B20+C20</f>
        <v>1006</v>
      </c>
      <c r="E20" s="10" t="s">
        <v>60</v>
      </c>
    </row>
    <row r="21" customFormat="false" ht="15" hidden="false" customHeight="false" outlineLevel="0" collapsed="false">
      <c r="A21" s="7" t="s">
        <v>61</v>
      </c>
      <c r="B21" s="8" t="n">
        <v>1430</v>
      </c>
      <c r="C21" s="8" t="n">
        <v>2201</v>
      </c>
      <c r="D21" s="9" t="n">
        <f aca="false">B21+C21</f>
        <v>3631</v>
      </c>
      <c r="E21" s="10" t="s">
        <v>62</v>
      </c>
    </row>
    <row r="22" customFormat="false" ht="15" hidden="false" customHeight="false" outlineLevel="0" collapsed="false">
      <c r="A22" s="7" t="s">
        <v>63</v>
      </c>
      <c r="B22" s="8" t="n">
        <v>47</v>
      </c>
      <c r="C22" s="8" t="n">
        <v>36</v>
      </c>
      <c r="D22" s="9" t="n">
        <f aca="false">B22+C22</f>
        <v>83</v>
      </c>
      <c r="E22" s="10" t="s">
        <v>64</v>
      </c>
    </row>
    <row r="23" customFormat="false" ht="15" hidden="false" customHeight="false" outlineLevel="0" collapsed="false">
      <c r="A23" s="7" t="s">
        <v>65</v>
      </c>
      <c r="B23" s="8" t="n">
        <v>2770</v>
      </c>
      <c r="C23" s="8" t="n">
        <v>2771</v>
      </c>
      <c r="D23" s="9" t="n">
        <f aca="false">B23+C23</f>
        <v>5541</v>
      </c>
      <c r="E23" s="10" t="s">
        <v>66</v>
      </c>
    </row>
    <row r="24" customFormat="false" ht="15" hidden="false" customHeight="false" outlineLevel="0" collapsed="false">
      <c r="A24" s="7" t="s">
        <v>67</v>
      </c>
      <c r="B24" s="8" t="n">
        <v>118</v>
      </c>
      <c r="C24" s="8" t="n">
        <v>119</v>
      </c>
      <c r="D24" s="9" t="n">
        <f aca="false">B24+C24</f>
        <v>237</v>
      </c>
      <c r="E24" s="10" t="s">
        <v>68</v>
      </c>
    </row>
    <row r="25" customFormat="false" ht="15" hidden="false" customHeight="false" outlineLevel="0" collapsed="false">
      <c r="A25" s="7" t="s">
        <v>69</v>
      </c>
      <c r="B25" s="8" t="n">
        <v>2359</v>
      </c>
      <c r="C25" s="8" t="n">
        <v>1498</v>
      </c>
      <c r="D25" s="9" t="n">
        <f aca="false">B25+C25</f>
        <v>3857</v>
      </c>
      <c r="E25" s="10" t="s">
        <v>70</v>
      </c>
    </row>
    <row r="26" customFormat="false" ht="15" hidden="false" customHeight="false" outlineLevel="0" collapsed="false">
      <c r="A26" s="7" t="s">
        <v>71</v>
      </c>
      <c r="B26" s="8" t="n">
        <v>449</v>
      </c>
      <c r="C26" s="8" t="n">
        <v>247</v>
      </c>
      <c r="D26" s="9" t="n">
        <f aca="false">B26+C26</f>
        <v>696</v>
      </c>
      <c r="E26" s="10" t="s">
        <v>72</v>
      </c>
    </row>
    <row r="27" customFormat="false" ht="15" hidden="false" customHeight="false" outlineLevel="0" collapsed="false">
      <c r="A27" s="7" t="s">
        <v>73</v>
      </c>
      <c r="B27" s="8" t="n">
        <v>62</v>
      </c>
      <c r="C27" s="8" t="n">
        <v>48</v>
      </c>
      <c r="D27" s="9" t="n">
        <f aca="false">B27+C27</f>
        <v>110</v>
      </c>
      <c r="E27" s="10" t="s">
        <v>74</v>
      </c>
    </row>
    <row r="28" customFormat="false" ht="15" hidden="false" customHeight="false" outlineLevel="0" collapsed="false">
      <c r="A28" s="7" t="s">
        <v>75</v>
      </c>
      <c r="B28" s="8" t="n">
        <v>167</v>
      </c>
      <c r="C28" s="8" t="n">
        <v>66</v>
      </c>
      <c r="D28" s="9" t="n">
        <f aca="false">B28+C28</f>
        <v>233</v>
      </c>
      <c r="E28" s="10" t="s">
        <v>76</v>
      </c>
    </row>
    <row r="29" customFormat="false" ht="15" hidden="false" customHeight="false" outlineLevel="0" collapsed="false">
      <c r="A29" s="7" t="s">
        <v>77</v>
      </c>
      <c r="B29" s="8" t="n">
        <v>2216</v>
      </c>
      <c r="C29" s="8" t="n">
        <v>1313</v>
      </c>
      <c r="D29" s="9" t="n">
        <f aca="false">B29+C29</f>
        <v>3529</v>
      </c>
      <c r="E29" s="10" t="s">
        <v>78</v>
      </c>
    </row>
    <row r="30" customFormat="false" ht="15" hidden="false" customHeight="false" outlineLevel="0" collapsed="false">
      <c r="A30" s="7" t="s">
        <v>79</v>
      </c>
      <c r="B30" s="8" t="n">
        <v>6251</v>
      </c>
      <c r="C30" s="8" t="n">
        <v>4940</v>
      </c>
      <c r="D30" s="9" t="n">
        <f aca="false">B30+C30</f>
        <v>11191</v>
      </c>
      <c r="E30" s="10" t="s">
        <v>80</v>
      </c>
    </row>
    <row r="31" customFormat="false" ht="15" hidden="false" customHeight="false" outlineLevel="0" collapsed="false">
      <c r="A31" s="7" t="s">
        <v>81</v>
      </c>
      <c r="B31" s="8" t="n">
        <v>1680</v>
      </c>
      <c r="C31" s="8" t="n">
        <v>1322</v>
      </c>
      <c r="D31" s="9" t="n">
        <f aca="false">B31+C31</f>
        <v>3002</v>
      </c>
      <c r="E31" s="10" t="s">
        <v>82</v>
      </c>
    </row>
    <row r="32" customFormat="false" ht="15" hidden="false" customHeight="false" outlineLevel="0" collapsed="false">
      <c r="A32" s="7" t="s">
        <v>83</v>
      </c>
      <c r="B32" s="8" t="n">
        <v>780</v>
      </c>
      <c r="C32" s="8" t="n">
        <v>736</v>
      </c>
      <c r="D32" s="9" t="n">
        <f aca="false">B32+C32</f>
        <v>1516</v>
      </c>
      <c r="E32" s="10" t="s">
        <v>84</v>
      </c>
    </row>
    <row r="33" customFormat="false" ht="15" hidden="false" customHeight="false" outlineLevel="0" collapsed="false">
      <c r="A33" s="7" t="s">
        <v>85</v>
      </c>
      <c r="B33" s="8" t="n">
        <v>11051</v>
      </c>
      <c r="C33" s="8" t="n">
        <v>6905</v>
      </c>
      <c r="D33" s="9" t="n">
        <f aca="false">B33+C33</f>
        <v>17956</v>
      </c>
      <c r="E33" s="10" t="s">
        <v>86</v>
      </c>
    </row>
    <row r="34" customFormat="false" ht="15" hidden="false" customHeight="false" outlineLevel="0" collapsed="false">
      <c r="A34" s="7" t="s">
        <v>87</v>
      </c>
      <c r="B34" s="8" t="n">
        <v>4771</v>
      </c>
      <c r="C34" s="8" t="n">
        <v>2939</v>
      </c>
      <c r="D34" s="9" t="n">
        <f aca="false">B34+C34</f>
        <v>7710</v>
      </c>
      <c r="E34" s="10" t="s">
        <v>88</v>
      </c>
    </row>
    <row r="35" customFormat="false" ht="15" hidden="false" customHeight="false" outlineLevel="0" collapsed="false">
      <c r="A35" s="7" t="s">
        <v>89</v>
      </c>
      <c r="B35" s="8" t="n">
        <v>522</v>
      </c>
      <c r="C35" s="8" t="n">
        <v>487</v>
      </c>
      <c r="D35" s="9" t="n">
        <f aca="false">B35+C35</f>
        <v>1009</v>
      </c>
      <c r="E35" s="10" t="s">
        <v>90</v>
      </c>
    </row>
    <row r="36" customFormat="false" ht="15" hidden="false" customHeight="false" outlineLevel="0" collapsed="false">
      <c r="A36" s="7" t="s">
        <v>91</v>
      </c>
      <c r="B36" s="8" t="n">
        <v>268</v>
      </c>
      <c r="C36" s="8" t="n">
        <v>317</v>
      </c>
      <c r="D36" s="9" t="n">
        <f aca="false">B36+C36</f>
        <v>585</v>
      </c>
      <c r="E36" s="10" t="s">
        <v>92</v>
      </c>
    </row>
    <row r="37" customFormat="false" ht="15" hidden="false" customHeight="false" outlineLevel="0" collapsed="false">
      <c r="A37" s="7" t="s">
        <v>93</v>
      </c>
      <c r="B37" s="8" t="n">
        <v>6</v>
      </c>
      <c r="C37" s="8" t="n">
        <v>0</v>
      </c>
      <c r="D37" s="9" t="n">
        <f aca="false">B37+C37</f>
        <v>6</v>
      </c>
      <c r="E37" s="10" t="s">
        <v>94</v>
      </c>
    </row>
    <row r="38" customFormat="false" ht="15" hidden="false" customHeight="false" outlineLevel="0" collapsed="false">
      <c r="A38" s="7" t="s">
        <v>95</v>
      </c>
      <c r="B38" s="8" t="n">
        <v>0</v>
      </c>
      <c r="C38" s="8" t="n">
        <v>0</v>
      </c>
      <c r="D38" s="9" t="n">
        <f aca="false">B38+C38</f>
        <v>0</v>
      </c>
      <c r="E38" s="10" t="s">
        <v>96</v>
      </c>
    </row>
    <row r="39" customFormat="false" ht="15" hidden="false" customHeight="false" outlineLevel="0" collapsed="false">
      <c r="A39" s="7" t="s">
        <v>97</v>
      </c>
      <c r="B39" s="8" t="n">
        <v>0</v>
      </c>
      <c r="C39" s="8" t="n">
        <v>0</v>
      </c>
      <c r="D39" s="9" t="n">
        <f aca="false">B39+C39</f>
        <v>0</v>
      </c>
      <c r="E39" s="10" t="s">
        <v>98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5" t="s">
        <v>99</v>
      </c>
      <c r="B1" s="5"/>
      <c r="C1" s="5"/>
    </row>
    <row r="3" customFormat="false" ht="15" hidden="false" customHeight="false" outlineLevel="0" collapsed="false">
      <c r="A3" s="6" t="s">
        <v>100</v>
      </c>
      <c r="B3" s="6" t="s">
        <v>101</v>
      </c>
      <c r="C3" s="6" t="s">
        <v>26</v>
      </c>
    </row>
    <row r="4" customFormat="false" ht="15" hidden="false" customHeight="false" outlineLevel="0" collapsed="false">
      <c r="A4" s="7" t="s">
        <v>102</v>
      </c>
      <c r="B4" s="8" t="n">
        <v>2080</v>
      </c>
      <c r="C4" s="11" t="s">
        <v>103</v>
      </c>
    </row>
    <row r="5" customFormat="false" ht="15" hidden="false" customHeight="false" outlineLevel="0" collapsed="false">
      <c r="A5" s="7" t="s">
        <v>104</v>
      </c>
      <c r="B5" s="12" t="n">
        <v>0.2</v>
      </c>
      <c r="C5" s="11" t="s">
        <v>105</v>
      </c>
    </row>
    <row r="6" customFormat="false" ht="15" hidden="false" customHeight="false" outlineLevel="0" collapsed="false">
      <c r="A6" s="7" t="s">
        <v>106</v>
      </c>
      <c r="B6" s="9" t="n">
        <f aca="false">B4*(1-B5)</f>
        <v>1664</v>
      </c>
      <c r="C6" s="11" t="s">
        <v>107</v>
      </c>
    </row>
    <row r="7" customFormat="false" ht="15" hidden="false" customHeight="false" outlineLevel="0" collapsed="false">
      <c r="A7" s="7" t="s">
        <v>108</v>
      </c>
      <c r="B7" s="9" t="n">
        <f aca="false">B6*60</f>
        <v>99840</v>
      </c>
      <c r="C7" s="11" t="s">
        <v>109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5" t="s">
        <v>110</v>
      </c>
      <c r="B1" s="5"/>
      <c r="C1" s="5"/>
    </row>
    <row r="3" customFormat="false" ht="26.85" hidden="false" customHeight="false" outlineLevel="0" collapsed="false">
      <c r="A3" s="6" t="s">
        <v>111</v>
      </c>
      <c r="B3" s="6" t="s">
        <v>112</v>
      </c>
      <c r="C3" s="6" t="s">
        <v>113</v>
      </c>
    </row>
    <row r="4" customFormat="false" ht="15" hidden="false" customHeight="false" outlineLevel="0" collapsed="false">
      <c r="A4" s="7" t="s">
        <v>114</v>
      </c>
      <c r="B4" s="13" t="n">
        <v>4.2</v>
      </c>
      <c r="C4" s="11" t="s">
        <v>115</v>
      </c>
    </row>
    <row r="5" customFormat="false" ht="15" hidden="false" customHeight="false" outlineLevel="0" collapsed="false">
      <c r="A5" s="7" t="s">
        <v>116</v>
      </c>
      <c r="B5" s="13" t="n">
        <v>2.1</v>
      </c>
      <c r="C5" s="11" t="s">
        <v>117</v>
      </c>
    </row>
    <row r="6" customFormat="false" ht="15" hidden="false" customHeight="false" outlineLevel="0" collapsed="false">
      <c r="A6" s="7" t="s">
        <v>118</v>
      </c>
      <c r="B6" s="13" t="n">
        <v>1</v>
      </c>
      <c r="C6" s="11" t="s">
        <v>119</v>
      </c>
    </row>
    <row r="7" customFormat="false" ht="15" hidden="false" customHeight="false" outlineLevel="0" collapsed="false">
      <c r="A7" s="7" t="s">
        <v>120</v>
      </c>
      <c r="B7" s="13" t="n">
        <v>1.2</v>
      </c>
      <c r="C7" s="11" t="s">
        <v>121</v>
      </c>
    </row>
    <row r="8" customFormat="false" ht="15" hidden="false" customHeight="false" outlineLevel="0" collapsed="false">
      <c r="A8" s="7" t="s">
        <v>122</v>
      </c>
      <c r="B8" s="13" t="n">
        <v>1.6</v>
      </c>
      <c r="C8" s="11" t="s">
        <v>123</v>
      </c>
    </row>
    <row r="9" customFormat="false" ht="15" hidden="false" customHeight="false" outlineLevel="0" collapsed="false">
      <c r="A9" s="7" t="s">
        <v>124</v>
      </c>
      <c r="B9" s="13" t="n">
        <v>0.3</v>
      </c>
      <c r="C9" s="11" t="s">
        <v>125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5" t="s">
        <v>126</v>
      </c>
      <c r="B1" s="5"/>
      <c r="C1" s="5"/>
      <c r="D1" s="5"/>
      <c r="E1" s="5"/>
      <c r="F1" s="5"/>
      <c r="G1" s="5"/>
      <c r="H1" s="5"/>
      <c r="I1" s="5"/>
    </row>
    <row r="3" customFormat="false" ht="26.85" hidden="false" customHeight="false" outlineLevel="0" collapsed="false">
      <c r="A3" s="6" t="s">
        <v>127</v>
      </c>
      <c r="B3" s="6" t="s">
        <v>22</v>
      </c>
      <c r="C3" s="6" t="s">
        <v>128</v>
      </c>
      <c r="D3" s="6" t="s">
        <v>129</v>
      </c>
      <c r="E3" s="6" t="s">
        <v>130</v>
      </c>
      <c r="F3" s="6" t="s">
        <v>131</v>
      </c>
      <c r="G3" s="6" t="s">
        <v>132</v>
      </c>
      <c r="H3" s="6" t="s">
        <v>133</v>
      </c>
      <c r="I3" s="6" t="s">
        <v>134</v>
      </c>
    </row>
    <row r="4" customFormat="false" ht="15" hidden="false" customHeight="false" outlineLevel="0" collapsed="false">
      <c r="A4" s="7" t="s">
        <v>135</v>
      </c>
      <c r="B4" s="7" t="s">
        <v>136</v>
      </c>
      <c r="C4" s="10" t="s">
        <v>29</v>
      </c>
      <c r="D4" s="14" t="s">
        <v>137</v>
      </c>
      <c r="E4" s="15" t="n">
        <f aca="false">Volumes_2025!B5</f>
        <v>11051</v>
      </c>
      <c r="F4" s="16" t="n">
        <v>30</v>
      </c>
      <c r="G4" s="14" t="s">
        <v>138</v>
      </c>
      <c r="H4" s="14" t="s">
        <v>138</v>
      </c>
      <c r="I4" s="17" t="n">
        <f aca="false">(E4*F4)/Productivity!$B$7</f>
        <v>3.32061298076923</v>
      </c>
    </row>
    <row r="5" customFormat="false" ht="15" hidden="false" customHeight="false" outlineLevel="0" collapsed="false">
      <c r="A5" s="18" t="s">
        <v>135</v>
      </c>
      <c r="B5" s="18" t="s">
        <v>139</v>
      </c>
      <c r="C5" s="19" t="s">
        <v>53</v>
      </c>
      <c r="D5" s="20" t="s">
        <v>137</v>
      </c>
      <c r="E5" s="21" t="n">
        <f aca="false">Volumes_2025!B17</f>
        <v>593190</v>
      </c>
      <c r="F5" s="16" t="n">
        <v>3</v>
      </c>
      <c r="G5" s="20" t="s">
        <v>138</v>
      </c>
      <c r="H5" s="20" t="s">
        <v>138</v>
      </c>
      <c r="I5" s="17" t="n">
        <f aca="false">(E5*F5)/Productivity!$B$7</f>
        <v>17.82421875</v>
      </c>
    </row>
    <row r="6" customFormat="false" ht="15" hidden="false" customHeight="false" outlineLevel="0" collapsed="false">
      <c r="A6" s="7" t="s">
        <v>135</v>
      </c>
      <c r="B6" s="7" t="s">
        <v>140</v>
      </c>
      <c r="C6" s="10" t="s">
        <v>138</v>
      </c>
      <c r="D6" s="14" t="s">
        <v>141</v>
      </c>
      <c r="E6" s="14" t="s">
        <v>138</v>
      </c>
      <c r="F6" s="14" t="s">
        <v>138</v>
      </c>
      <c r="G6" s="22" t="n">
        <v>3</v>
      </c>
      <c r="H6" s="23" t="n">
        <f aca="false">Coverage_Factors!B4</f>
        <v>4.2</v>
      </c>
      <c r="I6" s="17" t="n">
        <f aca="false">G6*H6</f>
        <v>12.6</v>
      </c>
    </row>
    <row r="7" customFormat="false" ht="15" hidden="false" customHeight="false" outlineLevel="0" collapsed="false">
      <c r="A7" s="18" t="s">
        <v>135</v>
      </c>
      <c r="B7" s="18" t="s">
        <v>142</v>
      </c>
      <c r="C7" s="19" t="s">
        <v>43</v>
      </c>
      <c r="D7" s="20" t="s">
        <v>137</v>
      </c>
      <c r="E7" s="21" t="n">
        <f aca="false">Volumes_2025!B12</f>
        <v>67</v>
      </c>
      <c r="F7" s="16" t="n">
        <v>7300</v>
      </c>
      <c r="G7" s="20" t="s">
        <v>138</v>
      </c>
      <c r="H7" s="20" t="s">
        <v>138</v>
      </c>
      <c r="I7" s="17" t="n">
        <f aca="false">(E7*F7)/Productivity!$B$7</f>
        <v>4.89883814102564</v>
      </c>
    </row>
    <row r="8" customFormat="false" ht="15" hidden="false" customHeight="false" outlineLevel="0" collapsed="false">
      <c r="A8" s="7" t="s">
        <v>135</v>
      </c>
      <c r="B8" s="7" t="s">
        <v>143</v>
      </c>
      <c r="C8" s="10" t="s">
        <v>138</v>
      </c>
      <c r="D8" s="14" t="s">
        <v>141</v>
      </c>
      <c r="E8" s="14" t="s">
        <v>138</v>
      </c>
      <c r="F8" s="14" t="s">
        <v>138</v>
      </c>
      <c r="G8" s="22" t="n">
        <v>2</v>
      </c>
      <c r="H8" s="23" t="n">
        <f aca="false">Coverage_Factors!B5</f>
        <v>2.1</v>
      </c>
      <c r="I8" s="17" t="n">
        <f aca="false">G8*H8</f>
        <v>4.2</v>
      </c>
    </row>
    <row r="9" customFormat="false" ht="15" hidden="false" customHeight="false" outlineLevel="0" collapsed="false">
      <c r="A9" s="18" t="s">
        <v>135</v>
      </c>
      <c r="B9" s="18" t="s">
        <v>144</v>
      </c>
      <c r="C9" s="19" t="s">
        <v>138</v>
      </c>
      <c r="D9" s="20" t="s">
        <v>141</v>
      </c>
      <c r="E9" s="20" t="s">
        <v>138</v>
      </c>
      <c r="F9" s="20" t="s">
        <v>138</v>
      </c>
      <c r="G9" s="22" t="n">
        <v>1</v>
      </c>
      <c r="H9" s="24" t="n">
        <f aca="false">Coverage_Factors!B4</f>
        <v>4.2</v>
      </c>
      <c r="I9" s="17" t="n">
        <f aca="false">G9*H9</f>
        <v>4.2</v>
      </c>
    </row>
    <row r="10" customFormat="false" ht="15" hidden="false" customHeight="false" outlineLevel="0" collapsed="false">
      <c r="A10" s="7" t="s">
        <v>135</v>
      </c>
      <c r="B10" s="7" t="s">
        <v>145</v>
      </c>
      <c r="C10" s="10" t="s">
        <v>63</v>
      </c>
      <c r="D10" s="14" t="s">
        <v>137</v>
      </c>
      <c r="E10" s="15" t="n">
        <f aca="false">Volumes_2025!B22</f>
        <v>47</v>
      </c>
      <c r="F10" s="16" t="n">
        <v>9125</v>
      </c>
      <c r="G10" s="14" t="s">
        <v>138</v>
      </c>
      <c r="H10" s="14" t="s">
        <v>138</v>
      </c>
      <c r="I10" s="17" t="n">
        <f aca="false">(E10*F10)/Productivity!$B$7</f>
        <v>4.29562299679487</v>
      </c>
    </row>
    <row r="11" customFormat="false" ht="15" hidden="false" customHeight="false" outlineLevel="0" collapsed="false">
      <c r="A11" s="18" t="s">
        <v>135</v>
      </c>
      <c r="B11" s="18" t="s">
        <v>146</v>
      </c>
      <c r="C11" s="19" t="s">
        <v>49</v>
      </c>
      <c r="D11" s="20" t="s">
        <v>137</v>
      </c>
      <c r="E11" s="21" t="n">
        <f aca="false">Volumes_2025!B15</f>
        <v>15640</v>
      </c>
      <c r="F11" s="16" t="n">
        <v>10</v>
      </c>
      <c r="G11" s="20" t="s">
        <v>138</v>
      </c>
      <c r="H11" s="20" t="s">
        <v>138</v>
      </c>
      <c r="I11" s="17" t="n">
        <f aca="false">(E11*F11)/Productivity!$B$7</f>
        <v>1.56650641025641</v>
      </c>
    </row>
    <row r="12" customFormat="false" ht="15" hidden="false" customHeight="false" outlineLevel="0" collapsed="false">
      <c r="A12" s="7" t="s">
        <v>135</v>
      </c>
      <c r="B12" s="7" t="s">
        <v>147</v>
      </c>
      <c r="C12" s="10" t="s">
        <v>51</v>
      </c>
      <c r="D12" s="14" t="s">
        <v>137</v>
      </c>
      <c r="E12" s="15" t="n">
        <f aca="false">Volumes_2025!B16</f>
        <v>8625</v>
      </c>
      <c r="F12" s="16" t="n">
        <v>12</v>
      </c>
      <c r="G12" s="14" t="s">
        <v>138</v>
      </c>
      <c r="H12" s="14" t="s">
        <v>138</v>
      </c>
      <c r="I12" s="17" t="n">
        <f aca="false">(E12*F12)/Productivity!$B$7</f>
        <v>1.03665865384615</v>
      </c>
    </row>
    <row r="13" customFormat="false" ht="15" hidden="false" customHeight="false" outlineLevel="0" collapsed="false">
      <c r="A13" s="18" t="s">
        <v>135</v>
      </c>
      <c r="B13" s="18" t="s">
        <v>148</v>
      </c>
      <c r="C13" s="19" t="s">
        <v>79</v>
      </c>
      <c r="D13" s="20" t="s">
        <v>137</v>
      </c>
      <c r="E13" s="21" t="n">
        <f aca="false">Volumes_2025!B30</f>
        <v>6251</v>
      </c>
      <c r="F13" s="16" t="n">
        <v>5</v>
      </c>
      <c r="G13" s="20" t="s">
        <v>138</v>
      </c>
      <c r="H13" s="20" t="s">
        <v>138</v>
      </c>
      <c r="I13" s="17" t="n">
        <f aca="false">(E13*F13)/Productivity!$B$7</f>
        <v>0.313050881410256</v>
      </c>
    </row>
    <row r="14" customFormat="false" ht="15" hidden="false" customHeight="false" outlineLevel="0" collapsed="false">
      <c r="A14" s="7" t="s">
        <v>135</v>
      </c>
      <c r="B14" s="7" t="s">
        <v>149</v>
      </c>
      <c r="C14" s="10" t="s">
        <v>27</v>
      </c>
      <c r="D14" s="14" t="s">
        <v>137</v>
      </c>
      <c r="E14" s="15" t="n">
        <f aca="false">Volumes_2025!B4</f>
        <v>790</v>
      </c>
      <c r="F14" s="16" t="n">
        <v>180</v>
      </c>
      <c r="G14" s="14" t="s">
        <v>138</v>
      </c>
      <c r="H14" s="14" t="s">
        <v>138</v>
      </c>
      <c r="I14" s="17" t="n">
        <f aca="false">(E14*F14)/Productivity!$B$7</f>
        <v>1.42427884615385</v>
      </c>
    </row>
    <row r="15" customFormat="false" ht="15" hidden="false" customHeight="false" outlineLevel="0" collapsed="false">
      <c r="A15" s="18" t="s">
        <v>135</v>
      </c>
      <c r="B15" s="18" t="s">
        <v>150</v>
      </c>
      <c r="C15" s="19" t="s">
        <v>138</v>
      </c>
      <c r="D15" s="20" t="s">
        <v>141</v>
      </c>
      <c r="E15" s="20" t="s">
        <v>138</v>
      </c>
      <c r="F15" s="20" t="s">
        <v>138</v>
      </c>
      <c r="G15" s="22" t="n">
        <v>2</v>
      </c>
      <c r="H15" s="24" t="n">
        <f aca="false">Coverage_Factors!B4</f>
        <v>4.2</v>
      </c>
      <c r="I15" s="17" t="n">
        <f aca="false">G15*H15</f>
        <v>8.4</v>
      </c>
    </row>
    <row r="16" customFormat="false" ht="15" hidden="false" customHeight="false" outlineLevel="0" collapsed="false">
      <c r="A16" s="7" t="s">
        <v>135</v>
      </c>
      <c r="B16" s="7" t="s">
        <v>151</v>
      </c>
      <c r="C16" s="10" t="s">
        <v>87</v>
      </c>
      <c r="D16" s="14" t="s">
        <v>137</v>
      </c>
      <c r="E16" s="15" t="n">
        <f aca="false">Volumes_2025!B34</f>
        <v>4771</v>
      </c>
      <c r="F16" s="16" t="n">
        <v>20</v>
      </c>
      <c r="G16" s="14" t="s">
        <v>138</v>
      </c>
      <c r="H16" s="14" t="s">
        <v>138</v>
      </c>
      <c r="I16" s="17" t="n">
        <f aca="false">(E16*F16)/Productivity!$B$7</f>
        <v>0.955729166666667</v>
      </c>
    </row>
    <row r="17" customFormat="false" ht="15" hidden="false" customHeight="false" outlineLevel="0" collapsed="false">
      <c r="A17" s="18" t="s">
        <v>135</v>
      </c>
      <c r="B17" s="18" t="s">
        <v>152</v>
      </c>
      <c r="C17" s="19" t="s">
        <v>138</v>
      </c>
      <c r="D17" s="20" t="s">
        <v>141</v>
      </c>
      <c r="E17" s="20" t="s">
        <v>138</v>
      </c>
      <c r="F17" s="20" t="s">
        <v>138</v>
      </c>
      <c r="G17" s="22" t="n">
        <v>3</v>
      </c>
      <c r="H17" s="24" t="n">
        <f aca="false">Coverage_Factors!B7</f>
        <v>1.2</v>
      </c>
      <c r="I17" s="17" t="n">
        <f aca="false">G17*H17</f>
        <v>3.6</v>
      </c>
    </row>
    <row r="18" customFormat="false" ht="15" hidden="false" customHeight="false" outlineLevel="0" collapsed="false">
      <c r="A18" s="7" t="s">
        <v>153</v>
      </c>
      <c r="B18" s="7" t="s">
        <v>154</v>
      </c>
      <c r="C18" s="10" t="s">
        <v>31</v>
      </c>
      <c r="D18" s="14" t="s">
        <v>137</v>
      </c>
      <c r="E18" s="15" t="n">
        <f aca="false">Volumes_2025!B6</f>
        <v>10749</v>
      </c>
      <c r="F18" s="16" t="n">
        <v>25</v>
      </c>
      <c r="G18" s="14" t="s">
        <v>138</v>
      </c>
      <c r="H18" s="14" t="s">
        <v>138</v>
      </c>
      <c r="I18" s="17" t="n">
        <f aca="false">(E18*F18)/Productivity!$B$7</f>
        <v>2.69155649038462</v>
      </c>
    </row>
    <row r="19" customFormat="false" ht="15" hidden="false" customHeight="false" outlineLevel="0" collapsed="false">
      <c r="A19" s="18" t="s">
        <v>153</v>
      </c>
      <c r="B19" s="18" t="s">
        <v>155</v>
      </c>
      <c r="C19" s="19" t="s">
        <v>138</v>
      </c>
      <c r="D19" s="20" t="s">
        <v>141</v>
      </c>
      <c r="E19" s="20" t="s">
        <v>138</v>
      </c>
      <c r="F19" s="20" t="s">
        <v>138</v>
      </c>
      <c r="G19" s="22" t="n">
        <v>3</v>
      </c>
      <c r="H19" s="24" t="n">
        <f aca="false">Coverage_Factors!B7</f>
        <v>1.2</v>
      </c>
      <c r="I19" s="17" t="n">
        <f aca="false">G19*H19</f>
        <v>3.6</v>
      </c>
    </row>
    <row r="20" customFormat="false" ht="15" hidden="false" customHeight="false" outlineLevel="0" collapsed="false">
      <c r="A20" s="7" t="s">
        <v>153</v>
      </c>
      <c r="B20" s="7" t="s">
        <v>156</v>
      </c>
      <c r="C20" s="10" t="s">
        <v>65</v>
      </c>
      <c r="D20" s="14" t="s">
        <v>137</v>
      </c>
      <c r="E20" s="15" t="n">
        <f aca="false">Volumes_2025!B23</f>
        <v>2770</v>
      </c>
      <c r="F20" s="16" t="n">
        <v>60</v>
      </c>
      <c r="G20" s="14" t="s">
        <v>138</v>
      </c>
      <c r="H20" s="14" t="s">
        <v>138</v>
      </c>
      <c r="I20" s="17" t="n">
        <f aca="false">(E20*F20)/Productivity!$B$7</f>
        <v>1.66466346153846</v>
      </c>
    </row>
    <row r="21" customFormat="false" ht="15" hidden="false" customHeight="false" outlineLevel="0" collapsed="false">
      <c r="A21" s="18" t="s">
        <v>153</v>
      </c>
      <c r="B21" s="18" t="s">
        <v>157</v>
      </c>
      <c r="C21" s="19" t="s">
        <v>138</v>
      </c>
      <c r="D21" s="20" t="s">
        <v>141</v>
      </c>
      <c r="E21" s="20" t="s">
        <v>138</v>
      </c>
      <c r="F21" s="20" t="s">
        <v>138</v>
      </c>
      <c r="G21" s="22" t="n">
        <v>2</v>
      </c>
      <c r="H21" s="24" t="n">
        <f aca="false">Coverage_Factors!B7</f>
        <v>1.2</v>
      </c>
      <c r="I21" s="17" t="n">
        <f aca="false">G21*H21</f>
        <v>2.4</v>
      </c>
    </row>
    <row r="22" customFormat="false" ht="15" hidden="false" customHeight="false" outlineLevel="0" collapsed="false">
      <c r="A22" s="7" t="s">
        <v>153</v>
      </c>
      <c r="B22" s="7" t="s">
        <v>158</v>
      </c>
      <c r="C22" s="10" t="s">
        <v>57</v>
      </c>
      <c r="D22" s="14" t="s">
        <v>137</v>
      </c>
      <c r="E22" s="15" t="n">
        <f aca="false">Volumes_2025!B19</f>
        <v>82</v>
      </c>
      <c r="F22" s="16" t="n">
        <v>390</v>
      </c>
      <c r="G22" s="14" t="s">
        <v>138</v>
      </c>
      <c r="H22" s="14" t="s">
        <v>138</v>
      </c>
      <c r="I22" s="17" t="n">
        <f aca="false">(E22*F22)/Productivity!$B$7</f>
        <v>0.3203125</v>
      </c>
    </row>
    <row r="23" customFormat="false" ht="15" hidden="false" customHeight="false" outlineLevel="0" collapsed="false">
      <c r="A23" s="18" t="s">
        <v>153</v>
      </c>
      <c r="B23" s="18" t="s">
        <v>159</v>
      </c>
      <c r="C23" s="19" t="s">
        <v>138</v>
      </c>
      <c r="D23" s="20" t="s">
        <v>141</v>
      </c>
      <c r="E23" s="20" t="s">
        <v>138</v>
      </c>
      <c r="F23" s="20" t="s">
        <v>138</v>
      </c>
      <c r="G23" s="22" t="n">
        <v>2</v>
      </c>
      <c r="H23" s="24" t="n">
        <f aca="false">Coverage_Factors!B7</f>
        <v>1.2</v>
      </c>
      <c r="I23" s="17" t="n">
        <f aca="false">G23*H23</f>
        <v>2.4</v>
      </c>
    </row>
    <row r="24" customFormat="false" ht="15" hidden="false" customHeight="false" outlineLevel="0" collapsed="false">
      <c r="A24" s="7" t="s">
        <v>153</v>
      </c>
      <c r="B24" s="7" t="s">
        <v>160</v>
      </c>
      <c r="C24" s="10" t="s">
        <v>138</v>
      </c>
      <c r="D24" s="14" t="s">
        <v>141</v>
      </c>
      <c r="E24" s="14" t="s">
        <v>138</v>
      </c>
      <c r="F24" s="14" t="s">
        <v>138</v>
      </c>
      <c r="G24" s="22" t="n">
        <v>2</v>
      </c>
      <c r="H24" s="23" t="n">
        <f aca="false">Coverage_Factors!B7</f>
        <v>1.2</v>
      </c>
      <c r="I24" s="17" t="n">
        <f aca="false">G24*H24</f>
        <v>2.4</v>
      </c>
    </row>
    <row r="25" customFormat="false" ht="15" hidden="false" customHeight="false" outlineLevel="0" collapsed="false">
      <c r="A25" s="18" t="s">
        <v>153</v>
      </c>
      <c r="B25" s="18" t="s">
        <v>161</v>
      </c>
      <c r="C25" s="19" t="s">
        <v>138</v>
      </c>
      <c r="D25" s="20" t="s">
        <v>141</v>
      </c>
      <c r="E25" s="20" t="s">
        <v>138</v>
      </c>
      <c r="F25" s="20" t="s">
        <v>138</v>
      </c>
      <c r="G25" s="22" t="n">
        <v>3</v>
      </c>
      <c r="H25" s="24" t="n">
        <f aca="false">Coverage_Factors!B7</f>
        <v>1.2</v>
      </c>
      <c r="I25" s="17" t="n">
        <f aca="false">G25*H25</f>
        <v>3.6</v>
      </c>
    </row>
    <row r="26" customFormat="false" ht="15" hidden="false" customHeight="false" outlineLevel="0" collapsed="false">
      <c r="A26" s="7" t="s">
        <v>153</v>
      </c>
      <c r="B26" s="7" t="s">
        <v>162</v>
      </c>
      <c r="C26" s="10" t="s">
        <v>138</v>
      </c>
      <c r="D26" s="14" t="s">
        <v>141</v>
      </c>
      <c r="E26" s="14" t="s">
        <v>138</v>
      </c>
      <c r="F26" s="14" t="s">
        <v>138</v>
      </c>
      <c r="G26" s="22" t="n">
        <v>3</v>
      </c>
      <c r="H26" s="23" t="n">
        <f aca="false">Coverage_Factors!B6</f>
        <v>1</v>
      </c>
      <c r="I26" s="17" t="n">
        <f aca="false">G26*H26</f>
        <v>3</v>
      </c>
    </row>
    <row r="27" customFormat="false" ht="15" hidden="false" customHeight="false" outlineLevel="0" collapsed="false">
      <c r="A27" s="18" t="s">
        <v>153</v>
      </c>
      <c r="B27" s="18" t="s">
        <v>163</v>
      </c>
      <c r="C27" s="19" t="s">
        <v>138</v>
      </c>
      <c r="D27" s="20" t="s">
        <v>141</v>
      </c>
      <c r="E27" s="20" t="s">
        <v>138</v>
      </c>
      <c r="F27" s="20" t="s">
        <v>138</v>
      </c>
      <c r="G27" s="22" t="n">
        <v>2</v>
      </c>
      <c r="H27" s="24" t="n">
        <f aca="false">Coverage_Factors!B6</f>
        <v>1</v>
      </c>
      <c r="I27" s="17" t="n">
        <f aca="false">G27*H27</f>
        <v>2</v>
      </c>
    </row>
    <row r="28" customFormat="false" ht="15" hidden="false" customHeight="false" outlineLevel="0" collapsed="false">
      <c r="A28" s="7" t="s">
        <v>153</v>
      </c>
      <c r="B28" s="7" t="s">
        <v>164</v>
      </c>
      <c r="C28" s="10" t="s">
        <v>138</v>
      </c>
      <c r="D28" s="14" t="s">
        <v>141</v>
      </c>
      <c r="E28" s="14" t="s">
        <v>138</v>
      </c>
      <c r="F28" s="14" t="s">
        <v>138</v>
      </c>
      <c r="G28" s="22" t="n">
        <v>3</v>
      </c>
      <c r="H28" s="23" t="n">
        <f aca="false">Coverage_Factors!B7</f>
        <v>1.2</v>
      </c>
      <c r="I28" s="17" t="n">
        <f aca="false">G28*H28</f>
        <v>3.6</v>
      </c>
    </row>
    <row r="29" customFormat="false" ht="15" hidden="false" customHeight="false" outlineLevel="0" collapsed="false">
      <c r="A29" s="18" t="s">
        <v>153</v>
      </c>
      <c r="B29" s="18" t="s">
        <v>165</v>
      </c>
      <c r="C29" s="19" t="s">
        <v>75</v>
      </c>
      <c r="D29" s="20" t="s">
        <v>137</v>
      </c>
      <c r="E29" s="21" t="n">
        <f aca="false">Volumes_2025!B28</f>
        <v>167</v>
      </c>
      <c r="F29" s="16" t="n">
        <v>45</v>
      </c>
      <c r="G29" s="20" t="s">
        <v>138</v>
      </c>
      <c r="H29" s="20" t="s">
        <v>138</v>
      </c>
      <c r="I29" s="17" t="n">
        <f aca="false">(E29*F29)/Productivity!$B$7</f>
        <v>0.0752704326923077</v>
      </c>
    </row>
    <row r="30" customFormat="false" ht="15" hidden="false" customHeight="false" outlineLevel="0" collapsed="false">
      <c r="A30" s="7" t="s">
        <v>153</v>
      </c>
      <c r="B30" s="7" t="s">
        <v>166</v>
      </c>
      <c r="C30" s="10" t="s">
        <v>77</v>
      </c>
      <c r="D30" s="14" t="s">
        <v>137</v>
      </c>
      <c r="E30" s="15" t="n">
        <f aca="false">Volumes_2025!B29</f>
        <v>2216</v>
      </c>
      <c r="F30" s="16" t="n">
        <v>15</v>
      </c>
      <c r="G30" s="14" t="s">
        <v>138</v>
      </c>
      <c r="H30" s="14" t="s">
        <v>138</v>
      </c>
      <c r="I30" s="17" t="n">
        <f aca="false">(E30*F30)/Productivity!$B$7</f>
        <v>0.332932692307692</v>
      </c>
    </row>
    <row r="31" customFormat="false" ht="15" hidden="false" customHeight="false" outlineLevel="0" collapsed="false">
      <c r="A31" s="18" t="s">
        <v>153</v>
      </c>
      <c r="B31" s="18" t="s">
        <v>167</v>
      </c>
      <c r="C31" s="19" t="s">
        <v>95</v>
      </c>
      <c r="D31" s="20" t="s">
        <v>137</v>
      </c>
      <c r="E31" s="21" t="n">
        <f aca="false">Volumes_2025!B38</f>
        <v>0</v>
      </c>
      <c r="F31" s="16" t="n">
        <v>120</v>
      </c>
      <c r="G31" s="20" t="s">
        <v>138</v>
      </c>
      <c r="H31" s="20" t="s">
        <v>138</v>
      </c>
      <c r="I31" s="17" t="n">
        <f aca="false">(E31*F31)/Productivity!$B$7</f>
        <v>0</v>
      </c>
    </row>
    <row r="32" customFormat="false" ht="23.85" hidden="false" customHeight="false" outlineLevel="0" collapsed="false">
      <c r="A32" s="7" t="s">
        <v>153</v>
      </c>
      <c r="B32" s="7" t="s">
        <v>168</v>
      </c>
      <c r="C32" s="10" t="s">
        <v>138</v>
      </c>
      <c r="D32" s="14" t="s">
        <v>141</v>
      </c>
      <c r="E32" s="14" t="s">
        <v>138</v>
      </c>
      <c r="F32" s="14" t="s">
        <v>138</v>
      </c>
      <c r="G32" s="22" t="n">
        <v>2</v>
      </c>
      <c r="H32" s="23" t="n">
        <f aca="false">Coverage_Factors!B7</f>
        <v>1.2</v>
      </c>
      <c r="I32" s="17" t="n">
        <f aca="false">G32*H32</f>
        <v>2.4</v>
      </c>
    </row>
    <row r="33" customFormat="false" ht="15" hidden="false" customHeight="false" outlineLevel="0" collapsed="false">
      <c r="A33" s="18" t="s">
        <v>153</v>
      </c>
      <c r="B33" s="18" t="s">
        <v>169</v>
      </c>
      <c r="C33" s="19" t="s">
        <v>138</v>
      </c>
      <c r="D33" s="20" t="s">
        <v>141</v>
      </c>
      <c r="E33" s="20" t="s">
        <v>138</v>
      </c>
      <c r="F33" s="20" t="s">
        <v>138</v>
      </c>
      <c r="G33" s="22" t="n">
        <v>2</v>
      </c>
      <c r="H33" s="24" t="n">
        <f aca="false">Coverage_Factors!B7</f>
        <v>1.2</v>
      </c>
      <c r="I33" s="17" t="n">
        <f aca="false">G33*H33</f>
        <v>2.4</v>
      </c>
    </row>
    <row r="34" customFormat="false" ht="15" hidden="false" customHeight="false" outlineLevel="0" collapsed="false">
      <c r="A34" s="7" t="s">
        <v>153</v>
      </c>
      <c r="B34" s="7" t="s">
        <v>170</v>
      </c>
      <c r="C34" s="10" t="s">
        <v>138</v>
      </c>
      <c r="D34" s="14" t="s">
        <v>141</v>
      </c>
      <c r="E34" s="14" t="s">
        <v>138</v>
      </c>
      <c r="F34" s="14" t="s">
        <v>138</v>
      </c>
      <c r="G34" s="22" t="n">
        <v>1</v>
      </c>
      <c r="H34" s="23" t="n">
        <f aca="false">Coverage_Factors!B6</f>
        <v>1</v>
      </c>
      <c r="I34" s="17" t="n">
        <f aca="false">G34*H34</f>
        <v>1</v>
      </c>
    </row>
    <row r="35" customFormat="false" ht="15" hidden="false" customHeight="false" outlineLevel="0" collapsed="false">
      <c r="A35" s="18" t="s">
        <v>171</v>
      </c>
      <c r="B35" s="18" t="s">
        <v>172</v>
      </c>
      <c r="C35" s="19" t="s">
        <v>39</v>
      </c>
      <c r="D35" s="20" t="s">
        <v>137</v>
      </c>
      <c r="E35" s="21" t="n">
        <f aca="false">Volumes_2025!B10</f>
        <v>1947</v>
      </c>
      <c r="F35" s="16" t="n">
        <v>40</v>
      </c>
      <c r="G35" s="20" t="s">
        <v>138</v>
      </c>
      <c r="H35" s="20" t="s">
        <v>138</v>
      </c>
      <c r="I35" s="17" t="n">
        <f aca="false">(E35*F35)/Productivity!$B$7</f>
        <v>0.780048076923077</v>
      </c>
    </row>
    <row r="36" customFormat="false" ht="15" hidden="false" customHeight="false" outlineLevel="0" collapsed="false">
      <c r="A36" s="7" t="s">
        <v>171</v>
      </c>
      <c r="B36" s="7" t="s">
        <v>173</v>
      </c>
      <c r="C36" s="10" t="s">
        <v>41</v>
      </c>
      <c r="D36" s="14" t="s">
        <v>137</v>
      </c>
      <c r="E36" s="15" t="n">
        <f aca="false">Volumes_2025!B11</f>
        <v>3493</v>
      </c>
      <c r="F36" s="16" t="n">
        <v>20</v>
      </c>
      <c r="G36" s="14" t="s">
        <v>138</v>
      </c>
      <c r="H36" s="14" t="s">
        <v>138</v>
      </c>
      <c r="I36" s="17" t="n">
        <f aca="false">(E36*F36)/Productivity!$B$7</f>
        <v>0.699719551282051</v>
      </c>
    </row>
    <row r="37" customFormat="false" ht="15" hidden="false" customHeight="false" outlineLevel="0" collapsed="false">
      <c r="A37" s="18" t="s">
        <v>171</v>
      </c>
      <c r="B37" s="18" t="s">
        <v>174</v>
      </c>
      <c r="C37" s="19" t="s">
        <v>81</v>
      </c>
      <c r="D37" s="20" t="s">
        <v>137</v>
      </c>
      <c r="E37" s="21" t="n">
        <f aca="false">Volumes_2025!B31</f>
        <v>1680</v>
      </c>
      <c r="F37" s="16" t="n">
        <v>35</v>
      </c>
      <c r="G37" s="20" t="s">
        <v>138</v>
      </c>
      <c r="H37" s="20" t="s">
        <v>138</v>
      </c>
      <c r="I37" s="17" t="n">
        <f aca="false">(E37*F37)/Productivity!$B$7</f>
        <v>0.588942307692308</v>
      </c>
    </row>
    <row r="38" customFormat="false" ht="15" hidden="false" customHeight="false" outlineLevel="0" collapsed="false">
      <c r="A38" s="7" t="s">
        <v>171</v>
      </c>
      <c r="B38" s="7" t="s">
        <v>175</v>
      </c>
      <c r="C38" s="10" t="s">
        <v>83</v>
      </c>
      <c r="D38" s="14" t="s">
        <v>137</v>
      </c>
      <c r="E38" s="15" t="n">
        <f aca="false">Volumes_2025!B32</f>
        <v>780</v>
      </c>
      <c r="F38" s="16" t="n">
        <v>45</v>
      </c>
      <c r="G38" s="14" t="s">
        <v>138</v>
      </c>
      <c r="H38" s="14" t="s">
        <v>138</v>
      </c>
      <c r="I38" s="17" t="n">
        <f aca="false">(E38*F38)/Productivity!$B$7</f>
        <v>0.3515625</v>
      </c>
    </row>
    <row r="39" customFormat="false" ht="15" hidden="false" customHeight="false" outlineLevel="0" collapsed="false">
      <c r="A39" s="18" t="s">
        <v>171</v>
      </c>
      <c r="B39" s="18" t="s">
        <v>176</v>
      </c>
      <c r="C39" s="19" t="s">
        <v>39</v>
      </c>
      <c r="D39" s="20" t="s">
        <v>137</v>
      </c>
      <c r="E39" s="21" t="n">
        <f aca="false">Volumes_2025!B10</f>
        <v>1947</v>
      </c>
      <c r="F39" s="16" t="n">
        <v>12</v>
      </c>
      <c r="G39" s="20" t="s">
        <v>138</v>
      </c>
      <c r="H39" s="20" t="s">
        <v>138</v>
      </c>
      <c r="I39" s="17" t="n">
        <f aca="false">(E39*F39)/Productivity!$B$7</f>
        <v>0.234014423076923</v>
      </c>
    </row>
    <row r="40" customFormat="false" ht="15" hidden="false" customHeight="false" outlineLevel="0" collapsed="false">
      <c r="A40" s="7" t="s">
        <v>171</v>
      </c>
      <c r="B40" s="7" t="s">
        <v>177</v>
      </c>
      <c r="C40" s="10" t="s">
        <v>138</v>
      </c>
      <c r="D40" s="14" t="s">
        <v>141</v>
      </c>
      <c r="E40" s="14" t="s">
        <v>138</v>
      </c>
      <c r="F40" s="14" t="s">
        <v>138</v>
      </c>
      <c r="G40" s="22" t="n">
        <v>5</v>
      </c>
      <c r="H40" s="23" t="n">
        <f aca="false">Coverage_Factors!B7</f>
        <v>1.2</v>
      </c>
      <c r="I40" s="17" t="n">
        <f aca="false">G40*H40</f>
        <v>6</v>
      </c>
    </row>
    <row r="41" customFormat="false" ht="15" hidden="false" customHeight="false" outlineLevel="0" collapsed="false">
      <c r="A41" s="18" t="s">
        <v>171</v>
      </c>
      <c r="B41" s="18" t="s">
        <v>178</v>
      </c>
      <c r="C41" s="19" t="s">
        <v>138</v>
      </c>
      <c r="D41" s="20" t="s">
        <v>141</v>
      </c>
      <c r="E41" s="20" t="s">
        <v>138</v>
      </c>
      <c r="F41" s="20" t="s">
        <v>138</v>
      </c>
      <c r="G41" s="22" t="n">
        <v>1</v>
      </c>
      <c r="H41" s="24" t="n">
        <f aca="false">Coverage_Factors!B8</f>
        <v>1.6</v>
      </c>
      <c r="I41" s="17" t="n">
        <f aca="false">G41*H41</f>
        <v>1.6</v>
      </c>
    </row>
    <row r="42" customFormat="false" ht="15" hidden="false" customHeight="false" outlineLevel="0" collapsed="false">
      <c r="A42" s="7" t="s">
        <v>171</v>
      </c>
      <c r="B42" s="7" t="s">
        <v>179</v>
      </c>
      <c r="C42" s="10" t="s">
        <v>138</v>
      </c>
      <c r="D42" s="14" t="s">
        <v>141</v>
      </c>
      <c r="E42" s="14" t="s">
        <v>138</v>
      </c>
      <c r="F42" s="14" t="s">
        <v>138</v>
      </c>
      <c r="G42" s="22" t="n">
        <v>1</v>
      </c>
      <c r="H42" s="23" t="n">
        <f aca="false">Coverage_Factors!B6</f>
        <v>1</v>
      </c>
      <c r="I42" s="17" t="n">
        <f aca="false">G42*H42</f>
        <v>1</v>
      </c>
    </row>
    <row r="43" customFormat="false" ht="15" hidden="false" customHeight="false" outlineLevel="0" collapsed="false">
      <c r="A43" s="18" t="s">
        <v>171</v>
      </c>
      <c r="B43" s="18" t="s">
        <v>180</v>
      </c>
      <c r="C43" s="19" t="s">
        <v>138</v>
      </c>
      <c r="D43" s="20" t="s">
        <v>141</v>
      </c>
      <c r="E43" s="20" t="s">
        <v>138</v>
      </c>
      <c r="F43" s="20" t="s">
        <v>138</v>
      </c>
      <c r="G43" s="22" t="n">
        <v>1</v>
      </c>
      <c r="H43" s="24" t="n">
        <f aca="false">Coverage_Factors!B7</f>
        <v>1.2</v>
      </c>
      <c r="I43" s="17" t="n">
        <f aca="false">G43*H43</f>
        <v>1.2</v>
      </c>
    </row>
    <row r="44" customFormat="false" ht="15" hidden="false" customHeight="false" outlineLevel="0" collapsed="false">
      <c r="A44" s="7" t="s">
        <v>171</v>
      </c>
      <c r="B44" s="7" t="s">
        <v>181</v>
      </c>
      <c r="C44" s="10" t="s">
        <v>138</v>
      </c>
      <c r="D44" s="14" t="s">
        <v>141</v>
      </c>
      <c r="E44" s="14" t="s">
        <v>138</v>
      </c>
      <c r="F44" s="14" t="s">
        <v>138</v>
      </c>
      <c r="G44" s="22" t="n">
        <v>1</v>
      </c>
      <c r="H44" s="23" t="n">
        <f aca="false">Coverage_Factors!B9</f>
        <v>0.3</v>
      </c>
      <c r="I44" s="17" t="n">
        <f aca="false">G44*H44</f>
        <v>0.3</v>
      </c>
    </row>
    <row r="45" customFormat="false" ht="15" hidden="false" customHeight="false" outlineLevel="0" collapsed="false">
      <c r="A45" s="18" t="s">
        <v>182</v>
      </c>
      <c r="B45" s="18" t="s">
        <v>183</v>
      </c>
      <c r="C45" s="19" t="s">
        <v>49</v>
      </c>
      <c r="D45" s="20" t="s">
        <v>137</v>
      </c>
      <c r="E45" s="21" t="n">
        <f aca="false">Volumes_2025!B15</f>
        <v>15640</v>
      </c>
      <c r="F45" s="16" t="n">
        <v>15</v>
      </c>
      <c r="G45" s="20" t="s">
        <v>138</v>
      </c>
      <c r="H45" s="20" t="s">
        <v>138</v>
      </c>
      <c r="I45" s="17" t="n">
        <f aca="false">(E45*F45)/Productivity!$B$7</f>
        <v>2.34975961538462</v>
      </c>
    </row>
    <row r="46" customFormat="false" ht="15" hidden="false" customHeight="false" outlineLevel="0" collapsed="false">
      <c r="A46" s="7" t="s">
        <v>182</v>
      </c>
      <c r="B46" s="7" t="s">
        <v>184</v>
      </c>
      <c r="C46" s="10" t="s">
        <v>27</v>
      </c>
      <c r="D46" s="14" t="s">
        <v>137</v>
      </c>
      <c r="E46" s="15" t="n">
        <f aca="false">Volumes_2025!B4</f>
        <v>790</v>
      </c>
      <c r="F46" s="16" t="n">
        <v>120</v>
      </c>
      <c r="G46" s="14" t="s">
        <v>138</v>
      </c>
      <c r="H46" s="14" t="s">
        <v>138</v>
      </c>
      <c r="I46" s="17" t="n">
        <f aca="false">(E46*F46)/Productivity!$B$7</f>
        <v>0.949519230769231</v>
      </c>
    </row>
    <row r="47" customFormat="false" ht="15" hidden="false" customHeight="false" outlineLevel="0" collapsed="false">
      <c r="A47" s="18" t="s">
        <v>182</v>
      </c>
      <c r="B47" s="18" t="s">
        <v>185</v>
      </c>
      <c r="C47" s="19" t="s">
        <v>61</v>
      </c>
      <c r="D47" s="20" t="s">
        <v>137</v>
      </c>
      <c r="E47" s="21" t="n">
        <f aca="false">Volumes_2025!B21</f>
        <v>1430</v>
      </c>
      <c r="F47" s="16" t="n">
        <v>20</v>
      </c>
      <c r="G47" s="20" t="s">
        <v>138</v>
      </c>
      <c r="H47" s="20" t="s">
        <v>138</v>
      </c>
      <c r="I47" s="17" t="n">
        <f aca="false">(E47*F47)/Productivity!$B$7</f>
        <v>0.286458333333333</v>
      </c>
    </row>
    <row r="48" customFormat="false" ht="15" hidden="false" customHeight="false" outlineLevel="0" collapsed="false">
      <c r="A48" s="7" t="s">
        <v>182</v>
      </c>
      <c r="B48" s="7" t="s">
        <v>186</v>
      </c>
      <c r="C48" s="10" t="s">
        <v>59</v>
      </c>
      <c r="D48" s="14" t="s">
        <v>137</v>
      </c>
      <c r="E48" s="15" t="n">
        <f aca="false">Volumes_2025!B20</f>
        <v>419</v>
      </c>
      <c r="F48" s="16" t="n">
        <v>15</v>
      </c>
      <c r="G48" s="14" t="s">
        <v>138</v>
      </c>
      <c r="H48" s="14" t="s">
        <v>138</v>
      </c>
      <c r="I48" s="17" t="n">
        <f aca="false">(E48*F48)/Productivity!$B$7</f>
        <v>0.0629507211538462</v>
      </c>
    </row>
    <row r="49" customFormat="false" ht="15" hidden="false" customHeight="false" outlineLevel="0" collapsed="false">
      <c r="A49" s="18" t="s">
        <v>182</v>
      </c>
      <c r="B49" s="18" t="s">
        <v>187</v>
      </c>
      <c r="C49" s="19" t="s">
        <v>27</v>
      </c>
      <c r="D49" s="20" t="s">
        <v>137</v>
      </c>
      <c r="E49" s="21" t="n">
        <f aca="false">Volumes_2025!B4</f>
        <v>790</v>
      </c>
      <c r="F49" s="16" t="n">
        <v>96</v>
      </c>
      <c r="G49" s="20" t="s">
        <v>138</v>
      </c>
      <c r="H49" s="20" t="s">
        <v>138</v>
      </c>
      <c r="I49" s="17" t="n">
        <f aca="false">(E49*F49)/Productivity!$B$7</f>
        <v>0.759615384615385</v>
      </c>
    </row>
    <row r="50" customFormat="false" ht="15" hidden="false" customHeight="false" outlineLevel="0" collapsed="false">
      <c r="A50" s="7" t="s">
        <v>182</v>
      </c>
      <c r="B50" s="7" t="s">
        <v>188</v>
      </c>
      <c r="C50" s="10" t="s">
        <v>45</v>
      </c>
      <c r="D50" s="14" t="s">
        <v>137</v>
      </c>
      <c r="E50" s="15" t="n">
        <f aca="false">Volumes_2025!B13</f>
        <v>39</v>
      </c>
      <c r="F50" s="16" t="n">
        <v>3650</v>
      </c>
      <c r="G50" s="14" t="s">
        <v>138</v>
      </c>
      <c r="H50" s="14" t="s">
        <v>138</v>
      </c>
      <c r="I50" s="17" t="n">
        <f aca="false">(E50*F50)/Productivity!$B$7</f>
        <v>1.42578125</v>
      </c>
    </row>
    <row r="51" customFormat="false" ht="15" hidden="false" customHeight="false" outlineLevel="0" collapsed="false">
      <c r="A51" s="18" t="s">
        <v>182</v>
      </c>
      <c r="B51" s="18" t="s">
        <v>189</v>
      </c>
      <c r="C51" s="19" t="s">
        <v>55</v>
      </c>
      <c r="D51" s="20" t="s">
        <v>137</v>
      </c>
      <c r="E51" s="21" t="n">
        <f aca="false">Volumes_2025!B18</f>
        <v>451</v>
      </c>
      <c r="F51" s="16" t="n">
        <v>25</v>
      </c>
      <c r="G51" s="20" t="s">
        <v>138</v>
      </c>
      <c r="H51" s="20" t="s">
        <v>138</v>
      </c>
      <c r="I51" s="17" t="n">
        <f aca="false">(E51*F51)/Productivity!$B$7</f>
        <v>0.112930689102564</v>
      </c>
    </row>
    <row r="52" customFormat="false" ht="15" hidden="false" customHeight="false" outlineLevel="0" collapsed="false">
      <c r="A52" s="7" t="s">
        <v>182</v>
      </c>
      <c r="B52" s="7" t="s">
        <v>190</v>
      </c>
      <c r="C52" s="10" t="s">
        <v>138</v>
      </c>
      <c r="D52" s="14" t="s">
        <v>141</v>
      </c>
      <c r="E52" s="14" t="s">
        <v>138</v>
      </c>
      <c r="F52" s="14" t="s">
        <v>138</v>
      </c>
      <c r="G52" s="22" t="n">
        <v>1</v>
      </c>
      <c r="H52" s="23" t="n">
        <f aca="false">Coverage_Factors!B6</f>
        <v>1</v>
      </c>
      <c r="I52" s="17" t="n">
        <f aca="false">G52*H52</f>
        <v>1</v>
      </c>
    </row>
    <row r="53" customFormat="false" ht="15" hidden="false" customHeight="false" outlineLevel="0" collapsed="false">
      <c r="A53" s="18" t="s">
        <v>182</v>
      </c>
      <c r="B53" s="18" t="s">
        <v>191</v>
      </c>
      <c r="C53" s="19" t="s">
        <v>138</v>
      </c>
      <c r="D53" s="20" t="s">
        <v>141</v>
      </c>
      <c r="E53" s="20" t="s">
        <v>138</v>
      </c>
      <c r="F53" s="20" t="s">
        <v>138</v>
      </c>
      <c r="G53" s="22" t="n">
        <v>1</v>
      </c>
      <c r="H53" s="24" t="n">
        <f aca="false">Coverage_Factors!B6</f>
        <v>1</v>
      </c>
      <c r="I53" s="17" t="n">
        <f aca="false">G53*H53</f>
        <v>1</v>
      </c>
    </row>
    <row r="54" customFormat="false" ht="15" hidden="false" customHeight="false" outlineLevel="0" collapsed="false">
      <c r="A54" s="7" t="s">
        <v>192</v>
      </c>
      <c r="B54" s="7" t="s">
        <v>193</v>
      </c>
      <c r="C54" s="10" t="s">
        <v>53</v>
      </c>
      <c r="D54" s="14" t="s">
        <v>137</v>
      </c>
      <c r="E54" s="15" t="n">
        <f aca="false">Volumes_2025!B17</f>
        <v>593190</v>
      </c>
      <c r="F54" s="16" t="n">
        <v>0.5</v>
      </c>
      <c r="G54" s="14" t="s">
        <v>138</v>
      </c>
      <c r="H54" s="14" t="s">
        <v>138</v>
      </c>
      <c r="I54" s="17" t="n">
        <f aca="false">(E54*F54)/Productivity!$B$7</f>
        <v>2.970703125</v>
      </c>
    </row>
    <row r="55" customFormat="false" ht="15" hidden="false" customHeight="false" outlineLevel="0" collapsed="false">
      <c r="A55" s="18" t="s">
        <v>192</v>
      </c>
      <c r="B55" s="18" t="s">
        <v>194</v>
      </c>
      <c r="C55" s="19" t="s">
        <v>61</v>
      </c>
      <c r="D55" s="20" t="s">
        <v>137</v>
      </c>
      <c r="E55" s="21" t="n">
        <f aca="false">Volumes_2025!B21</f>
        <v>1430</v>
      </c>
      <c r="F55" s="16" t="n">
        <v>10</v>
      </c>
      <c r="G55" s="20" t="s">
        <v>138</v>
      </c>
      <c r="H55" s="20" t="s">
        <v>138</v>
      </c>
      <c r="I55" s="17" t="n">
        <f aca="false">(E55*F55)/Productivity!$B$7</f>
        <v>0.143229166666667</v>
      </c>
    </row>
    <row r="56" customFormat="false" ht="15" hidden="false" customHeight="false" outlineLevel="0" collapsed="false">
      <c r="A56" s="7" t="s">
        <v>192</v>
      </c>
      <c r="B56" s="7" t="s">
        <v>195</v>
      </c>
      <c r="C56" s="10" t="s">
        <v>59</v>
      </c>
      <c r="D56" s="14" t="s">
        <v>137</v>
      </c>
      <c r="E56" s="15" t="n">
        <f aca="false">Volumes_2025!B20</f>
        <v>419</v>
      </c>
      <c r="F56" s="16" t="n">
        <v>20</v>
      </c>
      <c r="G56" s="14" t="s">
        <v>138</v>
      </c>
      <c r="H56" s="14" t="s">
        <v>138</v>
      </c>
      <c r="I56" s="17" t="n">
        <f aca="false">(E56*F56)/Productivity!$B$7</f>
        <v>0.0839342948717949</v>
      </c>
    </row>
    <row r="57" customFormat="false" ht="15" hidden="false" customHeight="false" outlineLevel="0" collapsed="false">
      <c r="A57" s="18" t="s">
        <v>192</v>
      </c>
      <c r="B57" s="18" t="s">
        <v>196</v>
      </c>
      <c r="C57" s="19" t="s">
        <v>71</v>
      </c>
      <c r="D57" s="20" t="s">
        <v>137</v>
      </c>
      <c r="E57" s="21" t="n">
        <f aca="false">Volumes_2025!B26</f>
        <v>449</v>
      </c>
      <c r="F57" s="16" t="n">
        <v>15</v>
      </c>
      <c r="G57" s="20" t="s">
        <v>138</v>
      </c>
      <c r="H57" s="20" t="s">
        <v>138</v>
      </c>
      <c r="I57" s="17" t="n">
        <f aca="false">(E57*F57)/Productivity!$B$7</f>
        <v>0.0674579326923077</v>
      </c>
    </row>
    <row r="58" customFormat="false" ht="15" hidden="false" customHeight="false" outlineLevel="0" collapsed="false">
      <c r="A58" s="7" t="s">
        <v>192</v>
      </c>
      <c r="B58" s="7" t="s">
        <v>197</v>
      </c>
      <c r="C58" s="10" t="s">
        <v>138</v>
      </c>
      <c r="D58" s="14" t="s">
        <v>141</v>
      </c>
      <c r="E58" s="14" t="s">
        <v>138</v>
      </c>
      <c r="F58" s="14" t="s">
        <v>138</v>
      </c>
      <c r="G58" s="22" t="n">
        <v>1</v>
      </c>
      <c r="H58" s="23" t="n">
        <f aca="false">Coverage_Factors!B5</f>
        <v>2.1</v>
      </c>
      <c r="I58" s="17" t="n">
        <f aca="false">G58*H58</f>
        <v>2.1</v>
      </c>
    </row>
    <row r="59" customFormat="false" ht="15" hidden="false" customHeight="false" outlineLevel="0" collapsed="false">
      <c r="A59" s="18" t="s">
        <v>192</v>
      </c>
      <c r="B59" s="18" t="s">
        <v>198</v>
      </c>
      <c r="C59" s="19" t="s">
        <v>138</v>
      </c>
      <c r="D59" s="20" t="s">
        <v>141</v>
      </c>
      <c r="E59" s="20" t="s">
        <v>138</v>
      </c>
      <c r="F59" s="20" t="s">
        <v>138</v>
      </c>
      <c r="G59" s="22" t="n">
        <v>2</v>
      </c>
      <c r="H59" s="24" t="n">
        <f aca="false">Coverage_Factors!B5</f>
        <v>2.1</v>
      </c>
      <c r="I59" s="17" t="n">
        <f aca="false">G59*H59</f>
        <v>4.2</v>
      </c>
    </row>
    <row r="60" customFormat="false" ht="15" hidden="false" customHeight="false" outlineLevel="0" collapsed="false">
      <c r="A60" s="7" t="s">
        <v>192</v>
      </c>
      <c r="B60" s="7" t="s">
        <v>199</v>
      </c>
      <c r="C60" s="10" t="s">
        <v>138</v>
      </c>
      <c r="D60" s="14" t="s">
        <v>141</v>
      </c>
      <c r="E60" s="14" t="s">
        <v>138</v>
      </c>
      <c r="F60" s="14" t="s">
        <v>138</v>
      </c>
      <c r="G60" s="22" t="n">
        <v>1</v>
      </c>
      <c r="H60" s="23" t="n">
        <f aca="false">Coverage_Factors!B7</f>
        <v>1.2</v>
      </c>
      <c r="I60" s="17" t="n">
        <f aca="false">G60*H60</f>
        <v>1.2</v>
      </c>
    </row>
    <row r="61" customFormat="false" ht="15" hidden="false" customHeight="false" outlineLevel="0" collapsed="false">
      <c r="A61" s="18" t="s">
        <v>200</v>
      </c>
      <c r="B61" s="18" t="s">
        <v>201</v>
      </c>
      <c r="C61" s="19" t="s">
        <v>29</v>
      </c>
      <c r="D61" s="20" t="s">
        <v>137</v>
      </c>
      <c r="E61" s="21" t="n">
        <f aca="false">Volumes_2025!B5</f>
        <v>11051</v>
      </c>
      <c r="F61" s="16" t="n">
        <v>10</v>
      </c>
      <c r="G61" s="20" t="s">
        <v>138</v>
      </c>
      <c r="H61" s="20" t="s">
        <v>138</v>
      </c>
      <c r="I61" s="17" t="n">
        <f aca="false">(E61*F61)/Productivity!$B$7</f>
        <v>1.10687099358974</v>
      </c>
    </row>
    <row r="62" customFormat="false" ht="15" hidden="false" customHeight="false" outlineLevel="0" collapsed="false">
      <c r="A62" s="7" t="s">
        <v>200</v>
      </c>
      <c r="B62" s="7" t="s">
        <v>202</v>
      </c>
      <c r="C62" s="10" t="s">
        <v>31</v>
      </c>
      <c r="D62" s="14" t="s">
        <v>137</v>
      </c>
      <c r="E62" s="15" t="n">
        <f aca="false">Volumes_2025!B6</f>
        <v>10749</v>
      </c>
      <c r="F62" s="16" t="n">
        <v>8</v>
      </c>
      <c r="G62" s="14" t="s">
        <v>138</v>
      </c>
      <c r="H62" s="14" t="s">
        <v>138</v>
      </c>
      <c r="I62" s="17" t="n">
        <f aca="false">(E62*F62)/Productivity!$B$7</f>
        <v>0.861298076923077</v>
      </c>
    </row>
    <row r="63" customFormat="false" ht="15" hidden="false" customHeight="false" outlineLevel="0" collapsed="false">
      <c r="A63" s="18" t="s">
        <v>200</v>
      </c>
      <c r="B63" s="18" t="s">
        <v>203</v>
      </c>
      <c r="C63" s="19" t="s">
        <v>51</v>
      </c>
      <c r="D63" s="20" t="s">
        <v>137</v>
      </c>
      <c r="E63" s="21" t="n">
        <f aca="false">Volumes_2025!B16</f>
        <v>8625</v>
      </c>
      <c r="F63" s="16" t="n">
        <v>4</v>
      </c>
      <c r="G63" s="20" t="s">
        <v>138</v>
      </c>
      <c r="H63" s="20" t="s">
        <v>138</v>
      </c>
      <c r="I63" s="17" t="n">
        <f aca="false">(E63*F63)/Productivity!$B$7</f>
        <v>0.345552884615385</v>
      </c>
    </row>
    <row r="64" customFormat="false" ht="15" hidden="false" customHeight="false" outlineLevel="0" collapsed="false">
      <c r="A64" s="7" t="s">
        <v>200</v>
      </c>
      <c r="B64" s="7" t="s">
        <v>204</v>
      </c>
      <c r="C64" s="10" t="s">
        <v>138</v>
      </c>
      <c r="D64" s="14" t="s">
        <v>141</v>
      </c>
      <c r="E64" s="14" t="s">
        <v>138</v>
      </c>
      <c r="F64" s="14" t="s">
        <v>138</v>
      </c>
      <c r="G64" s="22" t="n">
        <v>3</v>
      </c>
      <c r="H64" s="23" t="n">
        <f aca="false">Coverage_Factors!B7</f>
        <v>1.2</v>
      </c>
      <c r="I64" s="17" t="n">
        <f aca="false">G64*H64</f>
        <v>3.6</v>
      </c>
    </row>
    <row r="65" customFormat="false" ht="15" hidden="false" customHeight="false" outlineLevel="0" collapsed="false">
      <c r="A65" s="18" t="s">
        <v>200</v>
      </c>
      <c r="B65" s="18" t="s">
        <v>205</v>
      </c>
      <c r="C65" s="19" t="s">
        <v>138</v>
      </c>
      <c r="D65" s="20" t="s">
        <v>141</v>
      </c>
      <c r="E65" s="20" t="s">
        <v>138</v>
      </c>
      <c r="F65" s="20" t="s">
        <v>138</v>
      </c>
      <c r="G65" s="22" t="n">
        <v>2</v>
      </c>
      <c r="H65" s="24" t="n">
        <f aca="false">Coverage_Factors!B7</f>
        <v>1.2</v>
      </c>
      <c r="I65" s="17" t="n">
        <f aca="false">G65*H65</f>
        <v>2.4</v>
      </c>
    </row>
    <row r="66" customFormat="false" ht="15" hidden="false" customHeight="false" outlineLevel="0" collapsed="false">
      <c r="A66" s="7" t="s">
        <v>200</v>
      </c>
      <c r="B66" s="7" t="s">
        <v>206</v>
      </c>
      <c r="C66" s="10" t="s">
        <v>138</v>
      </c>
      <c r="D66" s="14" t="s">
        <v>141</v>
      </c>
      <c r="E66" s="14" t="s">
        <v>138</v>
      </c>
      <c r="F66" s="14" t="s">
        <v>138</v>
      </c>
      <c r="G66" s="22" t="n">
        <v>3</v>
      </c>
      <c r="H66" s="23" t="n">
        <f aca="false">Coverage_Factors!B7</f>
        <v>1.2</v>
      </c>
      <c r="I66" s="17" t="n">
        <f aca="false">G66*H66</f>
        <v>3.6</v>
      </c>
    </row>
    <row r="67" customFormat="false" ht="15" hidden="false" customHeight="false" outlineLevel="0" collapsed="false">
      <c r="A67" s="18" t="s">
        <v>207</v>
      </c>
      <c r="B67" s="18" t="s">
        <v>208</v>
      </c>
      <c r="C67" s="19" t="s">
        <v>138</v>
      </c>
      <c r="D67" s="20" t="s">
        <v>141</v>
      </c>
      <c r="E67" s="20" t="s">
        <v>138</v>
      </c>
      <c r="F67" s="20" t="s">
        <v>138</v>
      </c>
      <c r="G67" s="22" t="n">
        <v>1</v>
      </c>
      <c r="H67" s="24" t="n">
        <f aca="false">Coverage_Factors!B7</f>
        <v>1.2</v>
      </c>
      <c r="I67" s="17" t="n">
        <f aca="false">G67*H67</f>
        <v>1.2</v>
      </c>
    </row>
    <row r="68" customFormat="false" ht="15" hidden="false" customHeight="false" outlineLevel="0" collapsed="false">
      <c r="A68" s="7" t="s">
        <v>207</v>
      </c>
      <c r="B68" s="7" t="s">
        <v>209</v>
      </c>
      <c r="C68" s="10" t="s">
        <v>138</v>
      </c>
      <c r="D68" s="14" t="s">
        <v>141</v>
      </c>
      <c r="E68" s="14" t="s">
        <v>138</v>
      </c>
      <c r="F68" s="14" t="s">
        <v>138</v>
      </c>
      <c r="G68" s="22" t="n">
        <v>2</v>
      </c>
      <c r="H68" s="23" t="n">
        <f aca="false">Coverage_Factors!B7</f>
        <v>1.2</v>
      </c>
      <c r="I68" s="17" t="n">
        <f aca="false">G68*H68</f>
        <v>2.4</v>
      </c>
    </row>
    <row r="69" customFormat="false" ht="15" hidden="false" customHeight="false" outlineLevel="0" collapsed="false">
      <c r="A69" s="18" t="s">
        <v>207</v>
      </c>
      <c r="B69" s="18" t="s">
        <v>210</v>
      </c>
      <c r="C69" s="19" t="s">
        <v>138</v>
      </c>
      <c r="D69" s="20" t="s">
        <v>141</v>
      </c>
      <c r="E69" s="20" t="s">
        <v>138</v>
      </c>
      <c r="F69" s="20" t="s">
        <v>138</v>
      </c>
      <c r="G69" s="22" t="n">
        <v>2</v>
      </c>
      <c r="H69" s="24" t="n">
        <f aca="false">Coverage_Factors!B7</f>
        <v>1.2</v>
      </c>
      <c r="I69" s="17" t="n">
        <f aca="false">G69*H69</f>
        <v>2.4</v>
      </c>
    </row>
    <row r="70" customFormat="false" ht="15" hidden="false" customHeight="false" outlineLevel="0" collapsed="false">
      <c r="A70" s="7" t="s">
        <v>207</v>
      </c>
      <c r="B70" s="7" t="s">
        <v>211</v>
      </c>
      <c r="C70" s="10" t="s">
        <v>138</v>
      </c>
      <c r="D70" s="14" t="s">
        <v>141</v>
      </c>
      <c r="E70" s="14" t="s">
        <v>138</v>
      </c>
      <c r="F70" s="14" t="s">
        <v>138</v>
      </c>
      <c r="G70" s="22" t="n">
        <v>1</v>
      </c>
      <c r="H70" s="23" t="n">
        <f aca="false">Coverage_Factors!B7</f>
        <v>1.2</v>
      </c>
      <c r="I70" s="17" t="n">
        <f aca="false">G70*H70</f>
        <v>1.2</v>
      </c>
    </row>
    <row r="71" customFormat="false" ht="15" hidden="false" customHeight="false" outlineLevel="0" collapsed="false">
      <c r="A71" s="18" t="s">
        <v>207</v>
      </c>
      <c r="B71" s="18" t="s">
        <v>212</v>
      </c>
      <c r="C71" s="19" t="s">
        <v>138</v>
      </c>
      <c r="D71" s="20" t="s">
        <v>141</v>
      </c>
      <c r="E71" s="20" t="s">
        <v>138</v>
      </c>
      <c r="F71" s="20" t="s">
        <v>138</v>
      </c>
      <c r="G71" s="22" t="n">
        <v>2</v>
      </c>
      <c r="H71" s="24" t="n">
        <f aca="false">Coverage_Factors!B6</f>
        <v>1</v>
      </c>
      <c r="I71" s="17" t="n">
        <f aca="false">G71*H71</f>
        <v>2</v>
      </c>
    </row>
    <row r="72" customFormat="false" ht="15" hidden="false" customHeight="false" outlineLevel="0" collapsed="false">
      <c r="A72" s="7" t="s">
        <v>207</v>
      </c>
      <c r="B72" s="7" t="s">
        <v>213</v>
      </c>
      <c r="C72" s="10" t="s">
        <v>138</v>
      </c>
      <c r="D72" s="14" t="s">
        <v>141</v>
      </c>
      <c r="E72" s="14" t="s">
        <v>138</v>
      </c>
      <c r="F72" s="14" t="s">
        <v>138</v>
      </c>
      <c r="G72" s="22" t="n">
        <v>1</v>
      </c>
      <c r="H72" s="23" t="n">
        <f aca="false">Coverage_Factors!B7</f>
        <v>1.2</v>
      </c>
      <c r="I72" s="17" t="n">
        <f aca="false">G72*H72</f>
        <v>1.2</v>
      </c>
    </row>
    <row r="73" customFormat="false" ht="15" hidden="false" customHeight="false" outlineLevel="0" collapsed="false">
      <c r="A73" s="18" t="s">
        <v>214</v>
      </c>
      <c r="B73" s="18" t="s">
        <v>215</v>
      </c>
      <c r="C73" s="19" t="s">
        <v>138</v>
      </c>
      <c r="D73" s="20" t="s">
        <v>141</v>
      </c>
      <c r="E73" s="20" t="s">
        <v>138</v>
      </c>
      <c r="F73" s="20" t="s">
        <v>138</v>
      </c>
      <c r="G73" s="22" t="n">
        <v>2</v>
      </c>
      <c r="H73" s="24" t="n">
        <f aca="false">Coverage_Factors!B7</f>
        <v>1.2</v>
      </c>
      <c r="I73" s="17" t="n">
        <f aca="false">G73*H73</f>
        <v>2.4</v>
      </c>
    </row>
    <row r="74" customFormat="false" ht="15" hidden="false" customHeight="false" outlineLevel="0" collapsed="false">
      <c r="A74" s="7" t="s">
        <v>214</v>
      </c>
      <c r="B74" s="7" t="s">
        <v>216</v>
      </c>
      <c r="C74" s="10" t="s">
        <v>138</v>
      </c>
      <c r="D74" s="14" t="s">
        <v>141</v>
      </c>
      <c r="E74" s="14" t="s">
        <v>138</v>
      </c>
      <c r="F74" s="14" t="s">
        <v>138</v>
      </c>
      <c r="G74" s="22" t="n">
        <v>2</v>
      </c>
      <c r="H74" s="23" t="n">
        <f aca="false">Coverage_Factors!B7</f>
        <v>1.2</v>
      </c>
      <c r="I74" s="17" t="n">
        <f aca="false">G74*H74</f>
        <v>2.4</v>
      </c>
    </row>
    <row r="75" customFormat="false" ht="15" hidden="false" customHeight="false" outlineLevel="0" collapsed="false">
      <c r="A75" s="18" t="s">
        <v>214</v>
      </c>
      <c r="B75" s="18" t="s">
        <v>217</v>
      </c>
      <c r="C75" s="19" t="s">
        <v>138</v>
      </c>
      <c r="D75" s="20" t="s">
        <v>141</v>
      </c>
      <c r="E75" s="20" t="s">
        <v>138</v>
      </c>
      <c r="F75" s="20" t="s">
        <v>138</v>
      </c>
      <c r="G75" s="22" t="n">
        <v>1</v>
      </c>
      <c r="H75" s="24" t="n">
        <f aca="false">Coverage_Factors!B7</f>
        <v>1.2</v>
      </c>
      <c r="I75" s="17" t="n">
        <f aca="false">G75*H75</f>
        <v>1.2</v>
      </c>
    </row>
    <row r="76" customFormat="false" ht="15" hidden="false" customHeight="false" outlineLevel="0" collapsed="false">
      <c r="A76" s="7" t="s">
        <v>214</v>
      </c>
      <c r="B76" s="7" t="s">
        <v>218</v>
      </c>
      <c r="C76" s="10" t="s">
        <v>138</v>
      </c>
      <c r="D76" s="14" t="s">
        <v>141</v>
      </c>
      <c r="E76" s="14" t="s">
        <v>138</v>
      </c>
      <c r="F76" s="14" t="s">
        <v>138</v>
      </c>
      <c r="G76" s="22" t="n">
        <v>1</v>
      </c>
      <c r="H76" s="23" t="n">
        <f aca="false">Coverage_Factors!B7</f>
        <v>1.2</v>
      </c>
      <c r="I76" s="17" t="n">
        <f aca="false">G76*H76</f>
        <v>1.2</v>
      </c>
    </row>
    <row r="77" customFormat="false" ht="15" hidden="false" customHeight="false" outlineLevel="0" collapsed="false">
      <c r="A77" s="18" t="s">
        <v>214</v>
      </c>
      <c r="B77" s="18" t="s">
        <v>219</v>
      </c>
      <c r="C77" s="19" t="s">
        <v>138</v>
      </c>
      <c r="D77" s="20" t="s">
        <v>141</v>
      </c>
      <c r="E77" s="20" t="s">
        <v>138</v>
      </c>
      <c r="F77" s="20" t="s">
        <v>138</v>
      </c>
      <c r="G77" s="22" t="n">
        <v>1</v>
      </c>
      <c r="H77" s="24" t="n">
        <f aca="false">Coverage_Factors!B7</f>
        <v>1.2</v>
      </c>
      <c r="I77" s="17" t="n">
        <f aca="false">G77*H77</f>
        <v>1.2</v>
      </c>
    </row>
    <row r="78" customFormat="false" ht="15" hidden="false" customHeight="false" outlineLevel="0" collapsed="false">
      <c r="A78" s="7" t="s">
        <v>214</v>
      </c>
      <c r="B78" s="7" t="s">
        <v>220</v>
      </c>
      <c r="C78" s="10" t="s">
        <v>138</v>
      </c>
      <c r="D78" s="14" t="s">
        <v>141</v>
      </c>
      <c r="E78" s="14" t="s">
        <v>138</v>
      </c>
      <c r="F78" s="14" t="s">
        <v>138</v>
      </c>
      <c r="G78" s="22" t="n">
        <v>2</v>
      </c>
      <c r="H78" s="23" t="n">
        <f aca="false">Coverage_Factors!B6</f>
        <v>1</v>
      </c>
      <c r="I78" s="17" t="n">
        <f aca="false">G78*H78</f>
        <v>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5" t="s">
        <v>221</v>
      </c>
      <c r="B1" s="5"/>
      <c r="C1" s="5"/>
      <c r="D1" s="5"/>
      <c r="E1" s="5"/>
      <c r="F1" s="5"/>
      <c r="G1" s="5"/>
      <c r="H1" s="5"/>
      <c r="I1" s="5"/>
    </row>
    <row r="3" customFormat="false" ht="26.85" hidden="false" customHeight="false" outlineLevel="0" collapsed="false">
      <c r="A3" s="6" t="s">
        <v>127</v>
      </c>
      <c r="B3" s="6" t="s">
        <v>22</v>
      </c>
      <c r="C3" s="6" t="s">
        <v>128</v>
      </c>
      <c r="D3" s="6" t="s">
        <v>129</v>
      </c>
      <c r="E3" s="6" t="s">
        <v>130</v>
      </c>
      <c r="F3" s="6" t="s">
        <v>131</v>
      </c>
      <c r="G3" s="6" t="s">
        <v>132</v>
      </c>
      <c r="H3" s="6" t="s">
        <v>133</v>
      </c>
      <c r="I3" s="6" t="s">
        <v>134</v>
      </c>
    </row>
    <row r="4" customFormat="false" ht="15" hidden="false" customHeight="false" outlineLevel="0" collapsed="false">
      <c r="A4" s="7" t="s">
        <v>135</v>
      </c>
      <c r="B4" s="7" t="s">
        <v>136</v>
      </c>
      <c r="C4" s="10" t="s">
        <v>29</v>
      </c>
      <c r="D4" s="14" t="s">
        <v>137</v>
      </c>
      <c r="E4" s="15" t="n">
        <f aca="false">Volumes_2025!C5</f>
        <v>6905</v>
      </c>
      <c r="F4" s="16" t="n">
        <v>30</v>
      </c>
      <c r="G4" s="14" t="s">
        <v>138</v>
      </c>
      <c r="H4" s="14" t="s">
        <v>138</v>
      </c>
      <c r="I4" s="17" t="n">
        <f aca="false">(E4*F4)/Productivity!$B$7</f>
        <v>2.07481971153846</v>
      </c>
    </row>
    <row r="5" customFormat="false" ht="15" hidden="false" customHeight="false" outlineLevel="0" collapsed="false">
      <c r="A5" s="18" t="s">
        <v>135</v>
      </c>
      <c r="B5" s="18" t="s">
        <v>139</v>
      </c>
      <c r="C5" s="19" t="s">
        <v>53</v>
      </c>
      <c r="D5" s="20" t="s">
        <v>137</v>
      </c>
      <c r="E5" s="21" t="n">
        <f aca="false">Volumes_2025!C17</f>
        <v>463526</v>
      </c>
      <c r="F5" s="16" t="n">
        <v>3</v>
      </c>
      <c r="G5" s="20" t="s">
        <v>138</v>
      </c>
      <c r="H5" s="20" t="s">
        <v>138</v>
      </c>
      <c r="I5" s="17" t="n">
        <f aca="false">(E5*F5)/Productivity!$B$7</f>
        <v>13.9280649038462</v>
      </c>
    </row>
    <row r="6" customFormat="false" ht="15" hidden="false" customHeight="false" outlineLevel="0" collapsed="false">
      <c r="A6" s="7" t="s">
        <v>135</v>
      </c>
      <c r="B6" s="7" t="s">
        <v>140</v>
      </c>
      <c r="C6" s="10" t="s">
        <v>138</v>
      </c>
      <c r="D6" s="14" t="s">
        <v>141</v>
      </c>
      <c r="E6" s="14" t="s">
        <v>138</v>
      </c>
      <c r="F6" s="14" t="s">
        <v>138</v>
      </c>
      <c r="G6" s="22" t="n">
        <v>3</v>
      </c>
      <c r="H6" s="23" t="n">
        <f aca="false">Coverage_Factors!B4</f>
        <v>4.2</v>
      </c>
      <c r="I6" s="17" t="n">
        <f aca="false">G6*H6</f>
        <v>12.6</v>
      </c>
    </row>
    <row r="7" customFormat="false" ht="15" hidden="false" customHeight="false" outlineLevel="0" collapsed="false">
      <c r="A7" s="18" t="s">
        <v>135</v>
      </c>
      <c r="B7" s="18" t="s">
        <v>142</v>
      </c>
      <c r="C7" s="19" t="s">
        <v>43</v>
      </c>
      <c r="D7" s="20" t="s">
        <v>137</v>
      </c>
      <c r="E7" s="21" t="n">
        <f aca="false">Volumes_2025!C12</f>
        <v>52</v>
      </c>
      <c r="F7" s="16" t="n">
        <v>7300</v>
      </c>
      <c r="G7" s="20" t="s">
        <v>138</v>
      </c>
      <c r="H7" s="20" t="s">
        <v>138</v>
      </c>
      <c r="I7" s="17" t="n">
        <f aca="false">(E7*F7)/Productivity!$B$7</f>
        <v>3.80208333333333</v>
      </c>
    </row>
    <row r="8" customFormat="false" ht="15" hidden="false" customHeight="false" outlineLevel="0" collapsed="false">
      <c r="A8" s="7" t="s">
        <v>135</v>
      </c>
      <c r="B8" s="7" t="s">
        <v>143</v>
      </c>
      <c r="C8" s="10" t="s">
        <v>138</v>
      </c>
      <c r="D8" s="14" t="s">
        <v>141</v>
      </c>
      <c r="E8" s="14" t="s">
        <v>138</v>
      </c>
      <c r="F8" s="14" t="s">
        <v>138</v>
      </c>
      <c r="G8" s="22" t="n">
        <v>0</v>
      </c>
      <c r="H8" s="23" t="n">
        <f aca="false">Coverage_Factors!B5</f>
        <v>2.1</v>
      </c>
      <c r="I8" s="17" t="n">
        <f aca="false">G8*H8</f>
        <v>0</v>
      </c>
    </row>
    <row r="9" customFormat="false" ht="15" hidden="false" customHeight="false" outlineLevel="0" collapsed="false">
      <c r="A9" s="18" t="s">
        <v>135</v>
      </c>
      <c r="B9" s="18" t="s">
        <v>144</v>
      </c>
      <c r="C9" s="19" t="s">
        <v>138</v>
      </c>
      <c r="D9" s="20" t="s">
        <v>141</v>
      </c>
      <c r="E9" s="20" t="s">
        <v>138</v>
      </c>
      <c r="F9" s="20" t="s">
        <v>138</v>
      </c>
      <c r="G9" s="22" t="n">
        <v>0</v>
      </c>
      <c r="H9" s="24" t="n">
        <f aca="false">Coverage_Factors!B4</f>
        <v>4.2</v>
      </c>
      <c r="I9" s="17" t="n">
        <f aca="false">G9*H9</f>
        <v>0</v>
      </c>
    </row>
    <row r="10" customFormat="false" ht="15" hidden="false" customHeight="false" outlineLevel="0" collapsed="false">
      <c r="A10" s="7" t="s">
        <v>135</v>
      </c>
      <c r="B10" s="7" t="s">
        <v>145</v>
      </c>
      <c r="C10" s="10" t="s">
        <v>63</v>
      </c>
      <c r="D10" s="14" t="s">
        <v>137</v>
      </c>
      <c r="E10" s="15" t="n">
        <f aca="false">Volumes_2025!C22</f>
        <v>36</v>
      </c>
      <c r="F10" s="16" t="n">
        <v>9125</v>
      </c>
      <c r="G10" s="14" t="s">
        <v>138</v>
      </c>
      <c r="H10" s="14" t="s">
        <v>138</v>
      </c>
      <c r="I10" s="17" t="n">
        <f aca="false">(E10*F10)/Productivity!$B$7</f>
        <v>3.29026442307692</v>
      </c>
    </row>
    <row r="11" customFormat="false" ht="15" hidden="false" customHeight="false" outlineLevel="0" collapsed="false">
      <c r="A11" s="18" t="s">
        <v>135</v>
      </c>
      <c r="B11" s="18" t="s">
        <v>146</v>
      </c>
      <c r="C11" s="19" t="s">
        <v>49</v>
      </c>
      <c r="D11" s="20" t="s">
        <v>137</v>
      </c>
      <c r="E11" s="21" t="n">
        <f aca="false">Volumes_2025!C15</f>
        <v>12224</v>
      </c>
      <c r="F11" s="16" t="n">
        <v>10</v>
      </c>
      <c r="G11" s="20" t="s">
        <v>138</v>
      </c>
      <c r="H11" s="20" t="s">
        <v>138</v>
      </c>
      <c r="I11" s="17" t="n">
        <f aca="false">(E11*F11)/Productivity!$B$7</f>
        <v>1.22435897435897</v>
      </c>
    </row>
    <row r="12" customFormat="false" ht="15" hidden="false" customHeight="false" outlineLevel="0" collapsed="false">
      <c r="A12" s="7" t="s">
        <v>135</v>
      </c>
      <c r="B12" s="7" t="s">
        <v>147</v>
      </c>
      <c r="C12" s="10" t="s">
        <v>51</v>
      </c>
      <c r="D12" s="14" t="s">
        <v>137</v>
      </c>
      <c r="E12" s="15" t="n">
        <f aca="false">Volumes_2025!C16</f>
        <v>6405</v>
      </c>
      <c r="F12" s="16" t="n">
        <v>12</v>
      </c>
      <c r="G12" s="14" t="s">
        <v>138</v>
      </c>
      <c r="H12" s="14" t="s">
        <v>138</v>
      </c>
      <c r="I12" s="17" t="n">
        <f aca="false">(E12*F12)/Productivity!$B$7</f>
        <v>0.769831730769231</v>
      </c>
    </row>
    <row r="13" customFormat="false" ht="15" hidden="false" customHeight="false" outlineLevel="0" collapsed="false">
      <c r="A13" s="18" t="s">
        <v>135</v>
      </c>
      <c r="B13" s="18" t="s">
        <v>148</v>
      </c>
      <c r="C13" s="19" t="s">
        <v>79</v>
      </c>
      <c r="D13" s="20" t="s">
        <v>137</v>
      </c>
      <c r="E13" s="21" t="n">
        <f aca="false">Volumes_2025!C30</f>
        <v>4940</v>
      </c>
      <c r="F13" s="16" t="n">
        <v>5</v>
      </c>
      <c r="G13" s="20" t="s">
        <v>138</v>
      </c>
      <c r="H13" s="20" t="s">
        <v>138</v>
      </c>
      <c r="I13" s="17" t="n">
        <f aca="false">(E13*F13)/Productivity!$B$7</f>
        <v>0.247395833333333</v>
      </c>
    </row>
    <row r="14" customFormat="false" ht="15" hidden="false" customHeight="false" outlineLevel="0" collapsed="false">
      <c r="A14" s="7" t="s">
        <v>135</v>
      </c>
      <c r="B14" s="7" t="s">
        <v>149</v>
      </c>
      <c r="C14" s="10" t="s">
        <v>27</v>
      </c>
      <c r="D14" s="14" t="s">
        <v>137</v>
      </c>
      <c r="E14" s="15" t="n">
        <f aca="false">Volumes_2025!C4</f>
        <v>621</v>
      </c>
      <c r="F14" s="16" t="n">
        <v>180</v>
      </c>
      <c r="G14" s="14" t="s">
        <v>138</v>
      </c>
      <c r="H14" s="14" t="s">
        <v>138</v>
      </c>
      <c r="I14" s="17" t="n">
        <f aca="false">(E14*F14)/Productivity!$B$7</f>
        <v>1.11959134615385</v>
      </c>
    </row>
    <row r="15" customFormat="false" ht="15" hidden="false" customHeight="false" outlineLevel="0" collapsed="false">
      <c r="A15" s="18" t="s">
        <v>135</v>
      </c>
      <c r="B15" s="18" t="s">
        <v>150</v>
      </c>
      <c r="C15" s="19" t="s">
        <v>138</v>
      </c>
      <c r="D15" s="20" t="s">
        <v>141</v>
      </c>
      <c r="E15" s="20" t="s">
        <v>138</v>
      </c>
      <c r="F15" s="20" t="s">
        <v>138</v>
      </c>
      <c r="G15" s="22" t="n">
        <v>2</v>
      </c>
      <c r="H15" s="24" t="n">
        <f aca="false">Coverage_Factors!B4</f>
        <v>4.2</v>
      </c>
      <c r="I15" s="17" t="n">
        <f aca="false">G15*H15</f>
        <v>8.4</v>
      </c>
    </row>
    <row r="16" customFormat="false" ht="15" hidden="false" customHeight="false" outlineLevel="0" collapsed="false">
      <c r="A16" s="7" t="s">
        <v>135</v>
      </c>
      <c r="B16" s="7" t="s">
        <v>151</v>
      </c>
      <c r="C16" s="10" t="s">
        <v>87</v>
      </c>
      <c r="D16" s="14" t="s">
        <v>137</v>
      </c>
      <c r="E16" s="15" t="n">
        <f aca="false">Volumes_2025!C34</f>
        <v>2939</v>
      </c>
      <c r="F16" s="16" t="n">
        <v>20</v>
      </c>
      <c r="G16" s="14" t="s">
        <v>138</v>
      </c>
      <c r="H16" s="14" t="s">
        <v>138</v>
      </c>
      <c r="I16" s="17" t="n">
        <f aca="false">(E16*F16)/Productivity!$B$7</f>
        <v>0.588741987179487</v>
      </c>
    </row>
    <row r="17" customFormat="false" ht="15" hidden="false" customHeight="false" outlineLevel="0" collapsed="false">
      <c r="A17" s="18" t="s">
        <v>135</v>
      </c>
      <c r="B17" s="18" t="s">
        <v>152</v>
      </c>
      <c r="C17" s="19" t="s">
        <v>138</v>
      </c>
      <c r="D17" s="20" t="s">
        <v>141</v>
      </c>
      <c r="E17" s="20" t="s">
        <v>138</v>
      </c>
      <c r="F17" s="20" t="s">
        <v>138</v>
      </c>
      <c r="G17" s="22" t="n">
        <v>2</v>
      </c>
      <c r="H17" s="24" t="n">
        <f aca="false">Coverage_Factors!B7</f>
        <v>1.2</v>
      </c>
      <c r="I17" s="17" t="n">
        <f aca="false">G17*H17</f>
        <v>2.4</v>
      </c>
    </row>
    <row r="18" customFormat="false" ht="15" hidden="false" customHeight="false" outlineLevel="0" collapsed="false">
      <c r="A18" s="7" t="s">
        <v>153</v>
      </c>
      <c r="B18" s="7" t="s">
        <v>154</v>
      </c>
      <c r="C18" s="10" t="s">
        <v>31</v>
      </c>
      <c r="D18" s="14" t="s">
        <v>137</v>
      </c>
      <c r="E18" s="15" t="n">
        <f aca="false">Volumes_2025!C6</f>
        <v>6694</v>
      </c>
      <c r="F18" s="16" t="n">
        <v>25</v>
      </c>
      <c r="G18" s="14" t="s">
        <v>138</v>
      </c>
      <c r="H18" s="14" t="s">
        <v>138</v>
      </c>
      <c r="I18" s="17" t="n">
        <f aca="false">(E18*F18)/Productivity!$B$7</f>
        <v>1.67618189102564</v>
      </c>
    </row>
    <row r="19" customFormat="false" ht="15" hidden="false" customHeight="false" outlineLevel="0" collapsed="false">
      <c r="A19" s="18" t="s">
        <v>153</v>
      </c>
      <c r="B19" s="18" t="s">
        <v>155</v>
      </c>
      <c r="C19" s="19" t="s">
        <v>138</v>
      </c>
      <c r="D19" s="20" t="s">
        <v>141</v>
      </c>
      <c r="E19" s="20" t="s">
        <v>138</v>
      </c>
      <c r="F19" s="20" t="s">
        <v>138</v>
      </c>
      <c r="G19" s="22" t="n">
        <v>2</v>
      </c>
      <c r="H19" s="24" t="n">
        <f aca="false">Coverage_Factors!B7</f>
        <v>1.2</v>
      </c>
      <c r="I19" s="17" t="n">
        <f aca="false">G19*H19</f>
        <v>2.4</v>
      </c>
    </row>
    <row r="20" customFormat="false" ht="15" hidden="false" customHeight="false" outlineLevel="0" collapsed="false">
      <c r="A20" s="7" t="s">
        <v>153</v>
      </c>
      <c r="B20" s="7" t="s">
        <v>156</v>
      </c>
      <c r="C20" s="10" t="s">
        <v>65</v>
      </c>
      <c r="D20" s="14" t="s">
        <v>137</v>
      </c>
      <c r="E20" s="15" t="n">
        <f aca="false">Volumes_2025!C23</f>
        <v>2771</v>
      </c>
      <c r="F20" s="16" t="n">
        <v>60</v>
      </c>
      <c r="G20" s="14" t="s">
        <v>138</v>
      </c>
      <c r="H20" s="14" t="s">
        <v>138</v>
      </c>
      <c r="I20" s="17" t="n">
        <f aca="false">(E20*F20)/Productivity!$B$7</f>
        <v>1.66526442307692</v>
      </c>
    </row>
    <row r="21" customFormat="false" ht="15" hidden="false" customHeight="false" outlineLevel="0" collapsed="false">
      <c r="A21" s="18" t="s">
        <v>153</v>
      </c>
      <c r="B21" s="18" t="s">
        <v>157</v>
      </c>
      <c r="C21" s="19" t="s">
        <v>138</v>
      </c>
      <c r="D21" s="20" t="s">
        <v>141</v>
      </c>
      <c r="E21" s="20" t="s">
        <v>138</v>
      </c>
      <c r="F21" s="20" t="s">
        <v>138</v>
      </c>
      <c r="G21" s="22" t="n">
        <v>2</v>
      </c>
      <c r="H21" s="24" t="n">
        <f aca="false">Coverage_Factors!B7</f>
        <v>1.2</v>
      </c>
      <c r="I21" s="17" t="n">
        <f aca="false">G21*H21</f>
        <v>2.4</v>
      </c>
    </row>
    <row r="22" customFormat="false" ht="15" hidden="false" customHeight="false" outlineLevel="0" collapsed="false">
      <c r="A22" s="7" t="s">
        <v>153</v>
      </c>
      <c r="B22" s="7" t="s">
        <v>158</v>
      </c>
      <c r="C22" s="10" t="s">
        <v>57</v>
      </c>
      <c r="D22" s="14" t="s">
        <v>137</v>
      </c>
      <c r="E22" s="15" t="n">
        <f aca="false">Volumes_2025!C19</f>
        <v>123</v>
      </c>
      <c r="F22" s="16" t="n">
        <v>390</v>
      </c>
      <c r="G22" s="14" t="s">
        <v>138</v>
      </c>
      <c r="H22" s="14" t="s">
        <v>138</v>
      </c>
      <c r="I22" s="17" t="n">
        <f aca="false">(E22*F22)/Productivity!$B$7</f>
        <v>0.48046875</v>
      </c>
    </row>
    <row r="23" customFormat="false" ht="15" hidden="false" customHeight="false" outlineLevel="0" collapsed="false">
      <c r="A23" s="18" t="s">
        <v>153</v>
      </c>
      <c r="B23" s="18" t="s">
        <v>159</v>
      </c>
      <c r="C23" s="19" t="s">
        <v>138</v>
      </c>
      <c r="D23" s="20" t="s">
        <v>141</v>
      </c>
      <c r="E23" s="20" t="s">
        <v>138</v>
      </c>
      <c r="F23" s="20" t="s">
        <v>138</v>
      </c>
      <c r="G23" s="22" t="n">
        <v>1</v>
      </c>
      <c r="H23" s="24" t="n">
        <f aca="false">Coverage_Factors!B7</f>
        <v>1.2</v>
      </c>
      <c r="I23" s="17" t="n">
        <f aca="false">G23*H23</f>
        <v>1.2</v>
      </c>
    </row>
    <row r="24" customFormat="false" ht="15" hidden="false" customHeight="false" outlineLevel="0" collapsed="false">
      <c r="A24" s="7" t="s">
        <v>153</v>
      </c>
      <c r="B24" s="7" t="s">
        <v>160</v>
      </c>
      <c r="C24" s="10" t="s">
        <v>138</v>
      </c>
      <c r="D24" s="14" t="s">
        <v>141</v>
      </c>
      <c r="E24" s="14" t="s">
        <v>138</v>
      </c>
      <c r="F24" s="14" t="s">
        <v>138</v>
      </c>
      <c r="G24" s="22" t="n">
        <v>1</v>
      </c>
      <c r="H24" s="23" t="n">
        <f aca="false">Coverage_Factors!B7</f>
        <v>1.2</v>
      </c>
      <c r="I24" s="17" t="n">
        <f aca="false">G24*H24</f>
        <v>1.2</v>
      </c>
    </row>
    <row r="25" customFormat="false" ht="15" hidden="false" customHeight="false" outlineLevel="0" collapsed="false">
      <c r="A25" s="18" t="s">
        <v>153</v>
      </c>
      <c r="B25" s="18" t="s">
        <v>161</v>
      </c>
      <c r="C25" s="19" t="s">
        <v>138</v>
      </c>
      <c r="D25" s="20" t="s">
        <v>141</v>
      </c>
      <c r="E25" s="20" t="s">
        <v>138</v>
      </c>
      <c r="F25" s="20" t="s">
        <v>138</v>
      </c>
      <c r="G25" s="22" t="n">
        <v>1</v>
      </c>
      <c r="H25" s="24" t="n">
        <f aca="false">Coverage_Factors!B7</f>
        <v>1.2</v>
      </c>
      <c r="I25" s="17" t="n">
        <f aca="false">G25*H25</f>
        <v>1.2</v>
      </c>
    </row>
    <row r="26" customFormat="false" ht="15" hidden="false" customHeight="false" outlineLevel="0" collapsed="false">
      <c r="A26" s="7" t="s">
        <v>153</v>
      </c>
      <c r="B26" s="7" t="s">
        <v>162</v>
      </c>
      <c r="C26" s="10" t="s">
        <v>138</v>
      </c>
      <c r="D26" s="14" t="s">
        <v>141</v>
      </c>
      <c r="E26" s="14" t="s">
        <v>138</v>
      </c>
      <c r="F26" s="14" t="s">
        <v>138</v>
      </c>
      <c r="G26" s="22" t="n">
        <v>1</v>
      </c>
      <c r="H26" s="23" t="n">
        <f aca="false">Coverage_Factors!B6</f>
        <v>1</v>
      </c>
      <c r="I26" s="17" t="n">
        <f aca="false">G26*H26</f>
        <v>1</v>
      </c>
    </row>
    <row r="27" customFormat="false" ht="15" hidden="false" customHeight="false" outlineLevel="0" collapsed="false">
      <c r="A27" s="18" t="s">
        <v>153</v>
      </c>
      <c r="B27" s="18" t="s">
        <v>163</v>
      </c>
      <c r="C27" s="19" t="s">
        <v>138</v>
      </c>
      <c r="D27" s="20" t="s">
        <v>141</v>
      </c>
      <c r="E27" s="20" t="s">
        <v>138</v>
      </c>
      <c r="F27" s="20" t="s">
        <v>138</v>
      </c>
      <c r="G27" s="22" t="n">
        <v>1</v>
      </c>
      <c r="H27" s="24" t="n">
        <f aca="false">Coverage_Factors!B6</f>
        <v>1</v>
      </c>
      <c r="I27" s="17" t="n">
        <f aca="false">G27*H27</f>
        <v>1</v>
      </c>
    </row>
    <row r="28" customFormat="false" ht="15" hidden="false" customHeight="false" outlineLevel="0" collapsed="false">
      <c r="A28" s="7" t="s">
        <v>153</v>
      </c>
      <c r="B28" s="7" t="s">
        <v>164</v>
      </c>
      <c r="C28" s="10" t="s">
        <v>138</v>
      </c>
      <c r="D28" s="14" t="s">
        <v>141</v>
      </c>
      <c r="E28" s="14" t="s">
        <v>138</v>
      </c>
      <c r="F28" s="14" t="s">
        <v>138</v>
      </c>
      <c r="G28" s="22" t="n">
        <v>2</v>
      </c>
      <c r="H28" s="23" t="n">
        <f aca="false">Coverage_Factors!B7</f>
        <v>1.2</v>
      </c>
      <c r="I28" s="17" t="n">
        <f aca="false">G28*H28</f>
        <v>2.4</v>
      </c>
    </row>
    <row r="29" customFormat="false" ht="15" hidden="false" customHeight="false" outlineLevel="0" collapsed="false">
      <c r="A29" s="18" t="s">
        <v>153</v>
      </c>
      <c r="B29" s="18" t="s">
        <v>165</v>
      </c>
      <c r="C29" s="19" t="s">
        <v>75</v>
      </c>
      <c r="D29" s="20" t="s">
        <v>137</v>
      </c>
      <c r="E29" s="21" t="n">
        <f aca="false">Volumes_2025!C28</f>
        <v>66</v>
      </c>
      <c r="F29" s="16" t="n">
        <v>45</v>
      </c>
      <c r="G29" s="20" t="s">
        <v>138</v>
      </c>
      <c r="H29" s="20" t="s">
        <v>138</v>
      </c>
      <c r="I29" s="17" t="n">
        <f aca="false">(E29*F29)/Productivity!$B$7</f>
        <v>0.0297475961538462</v>
      </c>
    </row>
    <row r="30" customFormat="false" ht="15" hidden="false" customHeight="false" outlineLevel="0" collapsed="false">
      <c r="A30" s="7" t="s">
        <v>153</v>
      </c>
      <c r="B30" s="7" t="s">
        <v>166</v>
      </c>
      <c r="C30" s="10" t="s">
        <v>77</v>
      </c>
      <c r="D30" s="14" t="s">
        <v>137</v>
      </c>
      <c r="E30" s="15" t="n">
        <f aca="false">Volumes_2025!C29</f>
        <v>1313</v>
      </c>
      <c r="F30" s="16" t="n">
        <v>15</v>
      </c>
      <c r="G30" s="14" t="s">
        <v>138</v>
      </c>
      <c r="H30" s="14" t="s">
        <v>138</v>
      </c>
      <c r="I30" s="17" t="n">
        <f aca="false">(E30*F30)/Productivity!$B$7</f>
        <v>0.197265625</v>
      </c>
    </row>
    <row r="31" customFormat="false" ht="15" hidden="false" customHeight="false" outlineLevel="0" collapsed="false">
      <c r="A31" s="18" t="s">
        <v>153</v>
      </c>
      <c r="B31" s="18" t="s">
        <v>167</v>
      </c>
      <c r="C31" s="19" t="s">
        <v>95</v>
      </c>
      <c r="D31" s="20" t="s">
        <v>137</v>
      </c>
      <c r="E31" s="21" t="n">
        <f aca="false">Volumes_2025!C38</f>
        <v>0</v>
      </c>
      <c r="F31" s="16" t="n">
        <v>120</v>
      </c>
      <c r="G31" s="20" t="s">
        <v>138</v>
      </c>
      <c r="H31" s="20" t="s">
        <v>138</v>
      </c>
      <c r="I31" s="17" t="n">
        <f aca="false">(E31*F31)/Productivity!$B$7</f>
        <v>0</v>
      </c>
    </row>
    <row r="32" customFormat="false" ht="23.85" hidden="false" customHeight="false" outlineLevel="0" collapsed="false">
      <c r="A32" s="7" t="s">
        <v>153</v>
      </c>
      <c r="B32" s="7" t="s">
        <v>168</v>
      </c>
      <c r="C32" s="10" t="s">
        <v>138</v>
      </c>
      <c r="D32" s="14" t="s">
        <v>141</v>
      </c>
      <c r="E32" s="14" t="s">
        <v>138</v>
      </c>
      <c r="F32" s="14" t="s">
        <v>138</v>
      </c>
      <c r="G32" s="22" t="n">
        <v>1</v>
      </c>
      <c r="H32" s="23" t="n">
        <f aca="false">Coverage_Factors!B7</f>
        <v>1.2</v>
      </c>
      <c r="I32" s="17" t="n">
        <f aca="false">G32*H32</f>
        <v>1.2</v>
      </c>
    </row>
    <row r="33" customFormat="false" ht="15" hidden="false" customHeight="false" outlineLevel="0" collapsed="false">
      <c r="A33" s="18" t="s">
        <v>153</v>
      </c>
      <c r="B33" s="18" t="s">
        <v>169</v>
      </c>
      <c r="C33" s="19" t="s">
        <v>138</v>
      </c>
      <c r="D33" s="20" t="s">
        <v>141</v>
      </c>
      <c r="E33" s="20" t="s">
        <v>138</v>
      </c>
      <c r="F33" s="20" t="s">
        <v>138</v>
      </c>
      <c r="G33" s="22" t="n">
        <v>1</v>
      </c>
      <c r="H33" s="24" t="n">
        <f aca="false">Coverage_Factors!B7</f>
        <v>1.2</v>
      </c>
      <c r="I33" s="17" t="n">
        <f aca="false">G33*H33</f>
        <v>1.2</v>
      </c>
    </row>
    <row r="34" customFormat="false" ht="15" hidden="false" customHeight="false" outlineLevel="0" collapsed="false">
      <c r="A34" s="7" t="s">
        <v>153</v>
      </c>
      <c r="B34" s="7" t="s">
        <v>170</v>
      </c>
      <c r="C34" s="10" t="s">
        <v>138</v>
      </c>
      <c r="D34" s="14" t="s">
        <v>141</v>
      </c>
      <c r="E34" s="14" t="s">
        <v>138</v>
      </c>
      <c r="F34" s="14" t="s">
        <v>138</v>
      </c>
      <c r="G34" s="22" t="n">
        <v>1</v>
      </c>
      <c r="H34" s="23" t="n">
        <f aca="false">Coverage_Factors!B6</f>
        <v>1</v>
      </c>
      <c r="I34" s="17" t="n">
        <f aca="false">G34*H34</f>
        <v>1</v>
      </c>
    </row>
    <row r="35" customFormat="false" ht="15" hidden="false" customHeight="false" outlineLevel="0" collapsed="false">
      <c r="A35" s="18" t="s">
        <v>171</v>
      </c>
      <c r="B35" s="18" t="s">
        <v>172</v>
      </c>
      <c r="C35" s="19" t="s">
        <v>39</v>
      </c>
      <c r="D35" s="20" t="s">
        <v>137</v>
      </c>
      <c r="E35" s="21" t="n">
        <f aca="false">Volumes_2025!C10</f>
        <v>2020</v>
      </c>
      <c r="F35" s="16" t="n">
        <v>40</v>
      </c>
      <c r="G35" s="20" t="s">
        <v>138</v>
      </c>
      <c r="H35" s="20" t="s">
        <v>138</v>
      </c>
      <c r="I35" s="17" t="n">
        <f aca="false">(E35*F35)/Productivity!$B$7</f>
        <v>0.809294871794872</v>
      </c>
    </row>
    <row r="36" customFormat="false" ht="15" hidden="false" customHeight="false" outlineLevel="0" collapsed="false">
      <c r="A36" s="7" t="s">
        <v>171</v>
      </c>
      <c r="B36" s="7" t="s">
        <v>173</v>
      </c>
      <c r="C36" s="10" t="s">
        <v>41</v>
      </c>
      <c r="D36" s="14" t="s">
        <v>137</v>
      </c>
      <c r="E36" s="15" t="n">
        <f aca="false">Volumes_2025!C11</f>
        <v>3451</v>
      </c>
      <c r="F36" s="16" t="n">
        <v>20</v>
      </c>
      <c r="G36" s="14" t="s">
        <v>138</v>
      </c>
      <c r="H36" s="14" t="s">
        <v>138</v>
      </c>
      <c r="I36" s="17" t="n">
        <f aca="false">(E36*F36)/Productivity!$B$7</f>
        <v>0.69130608974359</v>
      </c>
    </row>
    <row r="37" customFormat="false" ht="15" hidden="false" customHeight="false" outlineLevel="0" collapsed="false">
      <c r="A37" s="18" t="s">
        <v>171</v>
      </c>
      <c r="B37" s="18" t="s">
        <v>174</v>
      </c>
      <c r="C37" s="19" t="s">
        <v>81</v>
      </c>
      <c r="D37" s="20" t="s">
        <v>137</v>
      </c>
      <c r="E37" s="21" t="n">
        <f aca="false">Volumes_2025!C31</f>
        <v>1322</v>
      </c>
      <c r="F37" s="16" t="n">
        <v>35</v>
      </c>
      <c r="G37" s="20" t="s">
        <v>138</v>
      </c>
      <c r="H37" s="20" t="s">
        <v>138</v>
      </c>
      <c r="I37" s="17" t="n">
        <f aca="false">(E37*F37)/Productivity!$B$7</f>
        <v>0.463441506410256</v>
      </c>
    </row>
    <row r="38" customFormat="false" ht="15" hidden="false" customHeight="false" outlineLevel="0" collapsed="false">
      <c r="A38" s="7" t="s">
        <v>171</v>
      </c>
      <c r="B38" s="7" t="s">
        <v>175</v>
      </c>
      <c r="C38" s="10" t="s">
        <v>83</v>
      </c>
      <c r="D38" s="14" t="s">
        <v>137</v>
      </c>
      <c r="E38" s="15" t="n">
        <f aca="false">Volumes_2025!C32</f>
        <v>736</v>
      </c>
      <c r="F38" s="16" t="n">
        <v>45</v>
      </c>
      <c r="G38" s="14" t="s">
        <v>138</v>
      </c>
      <c r="H38" s="14" t="s">
        <v>138</v>
      </c>
      <c r="I38" s="17" t="n">
        <f aca="false">(E38*F38)/Productivity!$B$7</f>
        <v>0.331730769230769</v>
      </c>
    </row>
    <row r="39" customFormat="false" ht="15" hidden="false" customHeight="false" outlineLevel="0" collapsed="false">
      <c r="A39" s="18" t="s">
        <v>171</v>
      </c>
      <c r="B39" s="18" t="s">
        <v>176</v>
      </c>
      <c r="C39" s="19" t="s">
        <v>39</v>
      </c>
      <c r="D39" s="20" t="s">
        <v>137</v>
      </c>
      <c r="E39" s="21" t="n">
        <f aca="false">Volumes_2025!C10</f>
        <v>2020</v>
      </c>
      <c r="F39" s="16" t="n">
        <v>12</v>
      </c>
      <c r="G39" s="20" t="s">
        <v>138</v>
      </c>
      <c r="H39" s="20" t="s">
        <v>138</v>
      </c>
      <c r="I39" s="17" t="n">
        <f aca="false">(E39*F39)/Productivity!$B$7</f>
        <v>0.242788461538462</v>
      </c>
    </row>
    <row r="40" customFormat="false" ht="15" hidden="false" customHeight="false" outlineLevel="0" collapsed="false">
      <c r="A40" s="7" t="s">
        <v>171</v>
      </c>
      <c r="B40" s="7" t="s">
        <v>177</v>
      </c>
      <c r="C40" s="10" t="s">
        <v>138</v>
      </c>
      <c r="D40" s="14" t="s">
        <v>141</v>
      </c>
      <c r="E40" s="14" t="s">
        <v>138</v>
      </c>
      <c r="F40" s="14" t="s">
        <v>138</v>
      </c>
      <c r="G40" s="22" t="n">
        <v>3</v>
      </c>
      <c r="H40" s="23" t="n">
        <f aca="false">Coverage_Factors!B7</f>
        <v>1.2</v>
      </c>
      <c r="I40" s="17" t="n">
        <f aca="false">G40*H40</f>
        <v>3.6</v>
      </c>
    </row>
    <row r="41" customFormat="false" ht="15" hidden="false" customHeight="false" outlineLevel="0" collapsed="false">
      <c r="A41" s="18" t="s">
        <v>171</v>
      </c>
      <c r="B41" s="18" t="s">
        <v>178</v>
      </c>
      <c r="C41" s="19" t="s">
        <v>138</v>
      </c>
      <c r="D41" s="20" t="s">
        <v>141</v>
      </c>
      <c r="E41" s="20" t="s">
        <v>138</v>
      </c>
      <c r="F41" s="20" t="s">
        <v>138</v>
      </c>
      <c r="G41" s="22" t="n">
        <v>1</v>
      </c>
      <c r="H41" s="24" t="n">
        <f aca="false">Coverage_Factors!B8</f>
        <v>1.6</v>
      </c>
      <c r="I41" s="17" t="n">
        <f aca="false">G41*H41</f>
        <v>1.6</v>
      </c>
    </row>
    <row r="42" customFormat="false" ht="15" hidden="false" customHeight="false" outlineLevel="0" collapsed="false">
      <c r="A42" s="7" t="s">
        <v>171</v>
      </c>
      <c r="B42" s="7" t="s">
        <v>179</v>
      </c>
      <c r="C42" s="10" t="s">
        <v>138</v>
      </c>
      <c r="D42" s="14" t="s">
        <v>141</v>
      </c>
      <c r="E42" s="14" t="s">
        <v>138</v>
      </c>
      <c r="F42" s="14" t="s">
        <v>138</v>
      </c>
      <c r="G42" s="22" t="n">
        <v>0</v>
      </c>
      <c r="H42" s="23" t="n">
        <f aca="false">Coverage_Factors!B6</f>
        <v>1</v>
      </c>
      <c r="I42" s="17" t="n">
        <f aca="false">G42*H42</f>
        <v>0</v>
      </c>
    </row>
    <row r="43" customFormat="false" ht="15" hidden="false" customHeight="false" outlineLevel="0" collapsed="false">
      <c r="A43" s="18" t="s">
        <v>171</v>
      </c>
      <c r="B43" s="18" t="s">
        <v>180</v>
      </c>
      <c r="C43" s="19" t="s">
        <v>138</v>
      </c>
      <c r="D43" s="20" t="s">
        <v>141</v>
      </c>
      <c r="E43" s="20" t="s">
        <v>138</v>
      </c>
      <c r="F43" s="20" t="s">
        <v>138</v>
      </c>
      <c r="G43" s="22" t="n">
        <v>0</v>
      </c>
      <c r="H43" s="24" t="n">
        <f aca="false">Coverage_Factors!B7</f>
        <v>1.2</v>
      </c>
      <c r="I43" s="17" t="n">
        <f aca="false">G43*H43</f>
        <v>0</v>
      </c>
    </row>
    <row r="44" customFormat="false" ht="15" hidden="false" customHeight="false" outlineLevel="0" collapsed="false">
      <c r="A44" s="7" t="s">
        <v>171</v>
      </c>
      <c r="B44" s="7" t="s">
        <v>181</v>
      </c>
      <c r="C44" s="10" t="s">
        <v>138</v>
      </c>
      <c r="D44" s="14" t="s">
        <v>141</v>
      </c>
      <c r="E44" s="14" t="s">
        <v>138</v>
      </c>
      <c r="F44" s="14" t="s">
        <v>138</v>
      </c>
      <c r="G44" s="22" t="n">
        <v>0</v>
      </c>
      <c r="H44" s="23" t="n">
        <f aca="false">Coverage_Factors!B9</f>
        <v>0.3</v>
      </c>
      <c r="I44" s="17" t="n">
        <f aca="false">G44*H44</f>
        <v>0</v>
      </c>
    </row>
    <row r="45" customFormat="false" ht="15" hidden="false" customHeight="false" outlineLevel="0" collapsed="false">
      <c r="A45" s="18" t="s">
        <v>182</v>
      </c>
      <c r="B45" s="18" t="s">
        <v>183</v>
      </c>
      <c r="C45" s="19" t="s">
        <v>49</v>
      </c>
      <c r="D45" s="20" t="s">
        <v>137</v>
      </c>
      <c r="E45" s="21" t="n">
        <f aca="false">Volumes_2025!C15</f>
        <v>12224</v>
      </c>
      <c r="F45" s="16" t="n">
        <v>15</v>
      </c>
      <c r="G45" s="20" t="s">
        <v>138</v>
      </c>
      <c r="H45" s="20" t="s">
        <v>138</v>
      </c>
      <c r="I45" s="17" t="n">
        <f aca="false">(E45*F45)/Productivity!$B$7</f>
        <v>1.83653846153846</v>
      </c>
    </row>
    <row r="46" customFormat="false" ht="15" hidden="false" customHeight="false" outlineLevel="0" collapsed="false">
      <c r="A46" s="7" t="s">
        <v>182</v>
      </c>
      <c r="B46" s="7" t="s">
        <v>184</v>
      </c>
      <c r="C46" s="10" t="s">
        <v>27</v>
      </c>
      <c r="D46" s="14" t="s">
        <v>137</v>
      </c>
      <c r="E46" s="15" t="n">
        <f aca="false">Volumes_2025!C4</f>
        <v>621</v>
      </c>
      <c r="F46" s="16" t="n">
        <v>120</v>
      </c>
      <c r="G46" s="14" t="s">
        <v>138</v>
      </c>
      <c r="H46" s="14" t="s">
        <v>138</v>
      </c>
      <c r="I46" s="17" t="n">
        <f aca="false">(E46*F46)/Productivity!$B$7</f>
        <v>0.746394230769231</v>
      </c>
    </row>
    <row r="47" customFormat="false" ht="15" hidden="false" customHeight="false" outlineLevel="0" collapsed="false">
      <c r="A47" s="18" t="s">
        <v>182</v>
      </c>
      <c r="B47" s="18" t="s">
        <v>185</v>
      </c>
      <c r="C47" s="19" t="s">
        <v>61</v>
      </c>
      <c r="D47" s="20" t="s">
        <v>137</v>
      </c>
      <c r="E47" s="21" t="n">
        <f aca="false">Volumes_2025!C21</f>
        <v>2201</v>
      </c>
      <c r="F47" s="16" t="n">
        <v>20</v>
      </c>
      <c r="G47" s="20" t="s">
        <v>138</v>
      </c>
      <c r="H47" s="20" t="s">
        <v>138</v>
      </c>
      <c r="I47" s="17" t="n">
        <f aca="false">(E47*F47)/Productivity!$B$7</f>
        <v>0.440905448717949</v>
      </c>
    </row>
    <row r="48" customFormat="false" ht="15" hidden="false" customHeight="false" outlineLevel="0" collapsed="false">
      <c r="A48" s="7" t="s">
        <v>182</v>
      </c>
      <c r="B48" s="7" t="s">
        <v>186</v>
      </c>
      <c r="C48" s="10" t="s">
        <v>59</v>
      </c>
      <c r="D48" s="14" t="s">
        <v>137</v>
      </c>
      <c r="E48" s="15" t="n">
        <f aca="false">Volumes_2025!C20</f>
        <v>587</v>
      </c>
      <c r="F48" s="16" t="n">
        <v>15</v>
      </c>
      <c r="G48" s="14" t="s">
        <v>138</v>
      </c>
      <c r="H48" s="14" t="s">
        <v>138</v>
      </c>
      <c r="I48" s="17" t="n">
        <f aca="false">(E48*F48)/Productivity!$B$7</f>
        <v>0.0881911057692308</v>
      </c>
    </row>
    <row r="49" customFormat="false" ht="15" hidden="false" customHeight="false" outlineLevel="0" collapsed="false">
      <c r="A49" s="18" t="s">
        <v>182</v>
      </c>
      <c r="B49" s="18" t="s">
        <v>187</v>
      </c>
      <c r="C49" s="19" t="s">
        <v>27</v>
      </c>
      <c r="D49" s="20" t="s">
        <v>137</v>
      </c>
      <c r="E49" s="21" t="n">
        <f aca="false">Volumes_2025!C4</f>
        <v>621</v>
      </c>
      <c r="F49" s="16" t="n">
        <v>96</v>
      </c>
      <c r="G49" s="20" t="s">
        <v>138</v>
      </c>
      <c r="H49" s="20" t="s">
        <v>138</v>
      </c>
      <c r="I49" s="17" t="n">
        <f aca="false">(E49*F49)/Productivity!$B$7</f>
        <v>0.597115384615385</v>
      </c>
    </row>
    <row r="50" customFormat="false" ht="15" hidden="false" customHeight="false" outlineLevel="0" collapsed="false">
      <c r="A50" s="7" t="s">
        <v>182</v>
      </c>
      <c r="B50" s="7" t="s">
        <v>188</v>
      </c>
      <c r="C50" s="10" t="s">
        <v>45</v>
      </c>
      <c r="D50" s="14" t="s">
        <v>137</v>
      </c>
      <c r="E50" s="15" t="n">
        <f aca="false">Volumes_2025!C13</f>
        <v>30</v>
      </c>
      <c r="F50" s="16" t="n">
        <v>3650</v>
      </c>
      <c r="G50" s="14" t="s">
        <v>138</v>
      </c>
      <c r="H50" s="14" t="s">
        <v>138</v>
      </c>
      <c r="I50" s="17" t="n">
        <f aca="false">(E50*F50)/Productivity!$B$7</f>
        <v>1.09675480769231</v>
      </c>
    </row>
    <row r="51" customFormat="false" ht="15" hidden="false" customHeight="false" outlineLevel="0" collapsed="false">
      <c r="A51" s="18" t="s">
        <v>182</v>
      </c>
      <c r="B51" s="18" t="s">
        <v>189</v>
      </c>
      <c r="C51" s="19" t="s">
        <v>55</v>
      </c>
      <c r="D51" s="20" t="s">
        <v>137</v>
      </c>
      <c r="E51" s="21" t="n">
        <f aca="false">Volumes_2025!C18</f>
        <v>446</v>
      </c>
      <c r="F51" s="16" t="n">
        <v>25</v>
      </c>
      <c r="G51" s="20" t="s">
        <v>138</v>
      </c>
      <c r="H51" s="20" t="s">
        <v>138</v>
      </c>
      <c r="I51" s="17" t="n">
        <f aca="false">(E51*F51)/Productivity!$B$7</f>
        <v>0.111678685897436</v>
      </c>
    </row>
    <row r="52" customFormat="false" ht="15" hidden="false" customHeight="false" outlineLevel="0" collapsed="false">
      <c r="A52" s="7" t="s">
        <v>182</v>
      </c>
      <c r="B52" s="7" t="s">
        <v>190</v>
      </c>
      <c r="C52" s="10" t="s">
        <v>138</v>
      </c>
      <c r="D52" s="14" t="s">
        <v>141</v>
      </c>
      <c r="E52" s="14" t="s">
        <v>138</v>
      </c>
      <c r="F52" s="14" t="s">
        <v>138</v>
      </c>
      <c r="G52" s="22" t="n">
        <v>1</v>
      </c>
      <c r="H52" s="23" t="n">
        <f aca="false">Coverage_Factors!B6</f>
        <v>1</v>
      </c>
      <c r="I52" s="17" t="n">
        <f aca="false">G52*H52</f>
        <v>1</v>
      </c>
    </row>
    <row r="53" customFormat="false" ht="15" hidden="false" customHeight="false" outlineLevel="0" collapsed="false">
      <c r="A53" s="18" t="s">
        <v>182</v>
      </c>
      <c r="B53" s="18" t="s">
        <v>191</v>
      </c>
      <c r="C53" s="19" t="s">
        <v>138</v>
      </c>
      <c r="D53" s="20" t="s">
        <v>141</v>
      </c>
      <c r="E53" s="20" t="s">
        <v>138</v>
      </c>
      <c r="F53" s="20" t="s">
        <v>138</v>
      </c>
      <c r="G53" s="22" t="n">
        <v>0</v>
      </c>
      <c r="H53" s="24" t="n">
        <f aca="false">Coverage_Factors!B6</f>
        <v>1</v>
      </c>
      <c r="I53" s="17" t="n">
        <f aca="false">G53*H53</f>
        <v>0</v>
      </c>
    </row>
    <row r="54" customFormat="false" ht="15" hidden="false" customHeight="false" outlineLevel="0" collapsed="false">
      <c r="A54" s="7" t="s">
        <v>192</v>
      </c>
      <c r="B54" s="7" t="s">
        <v>193</v>
      </c>
      <c r="C54" s="10" t="s">
        <v>53</v>
      </c>
      <c r="D54" s="14" t="s">
        <v>137</v>
      </c>
      <c r="E54" s="15" t="n">
        <f aca="false">Volumes_2025!C17</f>
        <v>463526</v>
      </c>
      <c r="F54" s="16" t="n">
        <v>0.5</v>
      </c>
      <c r="G54" s="14" t="s">
        <v>138</v>
      </c>
      <c r="H54" s="14" t="s">
        <v>138</v>
      </c>
      <c r="I54" s="17" t="n">
        <f aca="false">(E54*F54)/Productivity!$B$7</f>
        <v>2.32134415064103</v>
      </c>
    </row>
    <row r="55" customFormat="false" ht="15" hidden="false" customHeight="false" outlineLevel="0" collapsed="false">
      <c r="A55" s="18" t="s">
        <v>192</v>
      </c>
      <c r="B55" s="18" t="s">
        <v>194</v>
      </c>
      <c r="C55" s="19" t="s">
        <v>61</v>
      </c>
      <c r="D55" s="20" t="s">
        <v>137</v>
      </c>
      <c r="E55" s="21" t="n">
        <f aca="false">Volumes_2025!C21</f>
        <v>2201</v>
      </c>
      <c r="F55" s="16" t="n">
        <v>10</v>
      </c>
      <c r="G55" s="20" t="s">
        <v>138</v>
      </c>
      <c r="H55" s="20" t="s">
        <v>138</v>
      </c>
      <c r="I55" s="17" t="n">
        <f aca="false">(E55*F55)/Productivity!$B$7</f>
        <v>0.220452724358974</v>
      </c>
    </row>
    <row r="56" customFormat="false" ht="15" hidden="false" customHeight="false" outlineLevel="0" collapsed="false">
      <c r="A56" s="7" t="s">
        <v>192</v>
      </c>
      <c r="B56" s="7" t="s">
        <v>195</v>
      </c>
      <c r="C56" s="10" t="s">
        <v>59</v>
      </c>
      <c r="D56" s="14" t="s">
        <v>137</v>
      </c>
      <c r="E56" s="15" t="n">
        <f aca="false">Volumes_2025!C20</f>
        <v>587</v>
      </c>
      <c r="F56" s="16" t="n">
        <v>20</v>
      </c>
      <c r="G56" s="14" t="s">
        <v>138</v>
      </c>
      <c r="H56" s="14" t="s">
        <v>138</v>
      </c>
      <c r="I56" s="17" t="n">
        <f aca="false">(E56*F56)/Productivity!$B$7</f>
        <v>0.117588141025641</v>
      </c>
    </row>
    <row r="57" customFormat="false" ht="15" hidden="false" customHeight="false" outlineLevel="0" collapsed="false">
      <c r="A57" s="18" t="s">
        <v>192</v>
      </c>
      <c r="B57" s="18" t="s">
        <v>196</v>
      </c>
      <c r="C57" s="19" t="s">
        <v>71</v>
      </c>
      <c r="D57" s="20" t="s">
        <v>137</v>
      </c>
      <c r="E57" s="21" t="n">
        <f aca="false">Volumes_2025!C26</f>
        <v>247</v>
      </c>
      <c r="F57" s="16" t="n">
        <v>15</v>
      </c>
      <c r="G57" s="20" t="s">
        <v>138</v>
      </c>
      <c r="H57" s="20" t="s">
        <v>138</v>
      </c>
      <c r="I57" s="17" t="n">
        <f aca="false">(E57*F57)/Productivity!$B$7</f>
        <v>0.037109375</v>
      </c>
    </row>
    <row r="58" customFormat="false" ht="15" hidden="false" customHeight="false" outlineLevel="0" collapsed="false">
      <c r="A58" s="7" t="s">
        <v>192</v>
      </c>
      <c r="B58" s="7" t="s">
        <v>197</v>
      </c>
      <c r="C58" s="10" t="s">
        <v>138</v>
      </c>
      <c r="D58" s="14" t="s">
        <v>141</v>
      </c>
      <c r="E58" s="14" t="s">
        <v>138</v>
      </c>
      <c r="F58" s="14" t="s">
        <v>138</v>
      </c>
      <c r="G58" s="22" t="n">
        <v>1</v>
      </c>
      <c r="H58" s="23" t="n">
        <f aca="false">Coverage_Factors!B5</f>
        <v>2.1</v>
      </c>
      <c r="I58" s="17" t="n">
        <f aca="false">G58*H58</f>
        <v>2.1</v>
      </c>
    </row>
    <row r="59" customFormat="false" ht="15" hidden="false" customHeight="false" outlineLevel="0" collapsed="false">
      <c r="A59" s="18" t="s">
        <v>192</v>
      </c>
      <c r="B59" s="18" t="s">
        <v>198</v>
      </c>
      <c r="C59" s="19" t="s">
        <v>138</v>
      </c>
      <c r="D59" s="20" t="s">
        <v>141</v>
      </c>
      <c r="E59" s="20" t="s">
        <v>138</v>
      </c>
      <c r="F59" s="20" t="s">
        <v>138</v>
      </c>
      <c r="G59" s="22" t="n">
        <v>1</v>
      </c>
      <c r="H59" s="24" t="n">
        <f aca="false">Coverage_Factors!B5</f>
        <v>2.1</v>
      </c>
      <c r="I59" s="17" t="n">
        <f aca="false">G59*H59</f>
        <v>2.1</v>
      </c>
    </row>
    <row r="60" customFormat="false" ht="15" hidden="false" customHeight="false" outlineLevel="0" collapsed="false">
      <c r="A60" s="7" t="s">
        <v>192</v>
      </c>
      <c r="B60" s="7" t="s">
        <v>199</v>
      </c>
      <c r="C60" s="10" t="s">
        <v>138</v>
      </c>
      <c r="D60" s="14" t="s">
        <v>141</v>
      </c>
      <c r="E60" s="14" t="s">
        <v>138</v>
      </c>
      <c r="F60" s="14" t="s">
        <v>138</v>
      </c>
      <c r="G60" s="22" t="n">
        <v>1</v>
      </c>
      <c r="H60" s="23" t="n">
        <f aca="false">Coverage_Factors!B7</f>
        <v>1.2</v>
      </c>
      <c r="I60" s="17" t="n">
        <f aca="false">G60*H60</f>
        <v>1.2</v>
      </c>
    </row>
    <row r="61" customFormat="false" ht="15" hidden="false" customHeight="false" outlineLevel="0" collapsed="false">
      <c r="A61" s="18" t="s">
        <v>200</v>
      </c>
      <c r="B61" s="18" t="s">
        <v>201</v>
      </c>
      <c r="C61" s="19" t="s">
        <v>29</v>
      </c>
      <c r="D61" s="20" t="s">
        <v>137</v>
      </c>
      <c r="E61" s="21" t="n">
        <f aca="false">Volumes_2025!C5</f>
        <v>6905</v>
      </c>
      <c r="F61" s="16" t="n">
        <v>10</v>
      </c>
      <c r="G61" s="20" t="s">
        <v>138</v>
      </c>
      <c r="H61" s="20" t="s">
        <v>138</v>
      </c>
      <c r="I61" s="17" t="n">
        <f aca="false">(E61*F61)/Productivity!$B$7</f>
        <v>0.691606570512821</v>
      </c>
    </row>
    <row r="62" customFormat="false" ht="15" hidden="false" customHeight="false" outlineLevel="0" collapsed="false">
      <c r="A62" s="7" t="s">
        <v>200</v>
      </c>
      <c r="B62" s="7" t="s">
        <v>202</v>
      </c>
      <c r="C62" s="10" t="s">
        <v>31</v>
      </c>
      <c r="D62" s="14" t="s">
        <v>137</v>
      </c>
      <c r="E62" s="15" t="n">
        <f aca="false">Volumes_2025!C6</f>
        <v>6694</v>
      </c>
      <c r="F62" s="16" t="n">
        <v>8</v>
      </c>
      <c r="G62" s="14" t="s">
        <v>138</v>
      </c>
      <c r="H62" s="14" t="s">
        <v>138</v>
      </c>
      <c r="I62" s="17" t="n">
        <f aca="false">(E62*F62)/Productivity!$B$7</f>
        <v>0.536378205128205</v>
      </c>
    </row>
    <row r="63" customFormat="false" ht="15" hidden="false" customHeight="false" outlineLevel="0" collapsed="false">
      <c r="A63" s="18" t="s">
        <v>200</v>
      </c>
      <c r="B63" s="18" t="s">
        <v>203</v>
      </c>
      <c r="C63" s="19" t="s">
        <v>51</v>
      </c>
      <c r="D63" s="20" t="s">
        <v>137</v>
      </c>
      <c r="E63" s="21" t="n">
        <f aca="false">Volumes_2025!C16</f>
        <v>6405</v>
      </c>
      <c r="F63" s="16" t="n">
        <v>4</v>
      </c>
      <c r="G63" s="20" t="s">
        <v>138</v>
      </c>
      <c r="H63" s="20" t="s">
        <v>138</v>
      </c>
      <c r="I63" s="17" t="n">
        <f aca="false">(E63*F63)/Productivity!$B$7</f>
        <v>0.256610576923077</v>
      </c>
    </row>
    <row r="64" customFormat="false" ht="15" hidden="false" customHeight="false" outlineLevel="0" collapsed="false">
      <c r="A64" s="7" t="s">
        <v>200</v>
      </c>
      <c r="B64" s="7" t="s">
        <v>204</v>
      </c>
      <c r="C64" s="10" t="s">
        <v>138</v>
      </c>
      <c r="D64" s="14" t="s">
        <v>141</v>
      </c>
      <c r="E64" s="14" t="s">
        <v>138</v>
      </c>
      <c r="F64" s="14" t="s">
        <v>138</v>
      </c>
      <c r="G64" s="22" t="n">
        <v>1</v>
      </c>
      <c r="H64" s="23" t="n">
        <f aca="false">Coverage_Factors!B7</f>
        <v>1.2</v>
      </c>
      <c r="I64" s="17" t="n">
        <f aca="false">G64*H64</f>
        <v>1.2</v>
      </c>
    </row>
    <row r="65" customFormat="false" ht="15" hidden="false" customHeight="false" outlineLevel="0" collapsed="false">
      <c r="A65" s="18" t="s">
        <v>200</v>
      </c>
      <c r="B65" s="18" t="s">
        <v>205</v>
      </c>
      <c r="C65" s="19" t="s">
        <v>138</v>
      </c>
      <c r="D65" s="20" t="s">
        <v>141</v>
      </c>
      <c r="E65" s="20" t="s">
        <v>138</v>
      </c>
      <c r="F65" s="20" t="s">
        <v>138</v>
      </c>
      <c r="G65" s="22" t="n">
        <v>1</v>
      </c>
      <c r="H65" s="24" t="n">
        <f aca="false">Coverage_Factors!B7</f>
        <v>1.2</v>
      </c>
      <c r="I65" s="17" t="n">
        <f aca="false">G65*H65</f>
        <v>1.2</v>
      </c>
    </row>
    <row r="66" customFormat="false" ht="15" hidden="false" customHeight="false" outlineLevel="0" collapsed="false">
      <c r="A66" s="7" t="s">
        <v>200</v>
      </c>
      <c r="B66" s="7" t="s">
        <v>206</v>
      </c>
      <c r="C66" s="10" t="s">
        <v>138</v>
      </c>
      <c r="D66" s="14" t="s">
        <v>141</v>
      </c>
      <c r="E66" s="14" t="s">
        <v>138</v>
      </c>
      <c r="F66" s="14" t="s">
        <v>138</v>
      </c>
      <c r="G66" s="22" t="n">
        <v>1</v>
      </c>
      <c r="H66" s="23" t="n">
        <f aca="false">Coverage_Factors!B7</f>
        <v>1.2</v>
      </c>
      <c r="I66" s="17" t="n">
        <f aca="false">G66*H66</f>
        <v>1.2</v>
      </c>
    </row>
    <row r="67" customFormat="false" ht="15" hidden="false" customHeight="false" outlineLevel="0" collapsed="false">
      <c r="A67" s="18" t="s">
        <v>207</v>
      </c>
      <c r="B67" s="18" t="s">
        <v>208</v>
      </c>
      <c r="C67" s="19" t="s">
        <v>138</v>
      </c>
      <c r="D67" s="20" t="s">
        <v>141</v>
      </c>
      <c r="E67" s="20" t="s">
        <v>138</v>
      </c>
      <c r="F67" s="20" t="s">
        <v>138</v>
      </c>
      <c r="G67" s="22" t="n">
        <v>1</v>
      </c>
      <c r="H67" s="24" t="n">
        <f aca="false">Coverage_Factors!B7</f>
        <v>1.2</v>
      </c>
      <c r="I67" s="17" t="n">
        <f aca="false">G67*H67</f>
        <v>1.2</v>
      </c>
    </row>
    <row r="68" customFormat="false" ht="15" hidden="false" customHeight="false" outlineLevel="0" collapsed="false">
      <c r="A68" s="7" t="s">
        <v>207</v>
      </c>
      <c r="B68" s="7" t="s">
        <v>209</v>
      </c>
      <c r="C68" s="10" t="s">
        <v>138</v>
      </c>
      <c r="D68" s="14" t="s">
        <v>141</v>
      </c>
      <c r="E68" s="14" t="s">
        <v>138</v>
      </c>
      <c r="F68" s="14" t="s">
        <v>138</v>
      </c>
      <c r="G68" s="22" t="n">
        <v>0</v>
      </c>
      <c r="H68" s="23" t="n">
        <f aca="false">Coverage_Factors!B7</f>
        <v>1.2</v>
      </c>
      <c r="I68" s="17" t="n">
        <f aca="false">G68*H68</f>
        <v>0</v>
      </c>
    </row>
    <row r="69" customFormat="false" ht="15" hidden="false" customHeight="false" outlineLevel="0" collapsed="false">
      <c r="A69" s="18" t="s">
        <v>207</v>
      </c>
      <c r="B69" s="18" t="s">
        <v>210</v>
      </c>
      <c r="C69" s="19" t="s">
        <v>138</v>
      </c>
      <c r="D69" s="20" t="s">
        <v>141</v>
      </c>
      <c r="E69" s="20" t="s">
        <v>138</v>
      </c>
      <c r="F69" s="20" t="s">
        <v>138</v>
      </c>
      <c r="G69" s="22" t="n">
        <v>1</v>
      </c>
      <c r="H69" s="24" t="n">
        <f aca="false">Coverage_Factors!B7</f>
        <v>1.2</v>
      </c>
      <c r="I69" s="17" t="n">
        <f aca="false">G69*H69</f>
        <v>1.2</v>
      </c>
    </row>
    <row r="70" customFormat="false" ht="15" hidden="false" customHeight="false" outlineLevel="0" collapsed="false">
      <c r="A70" s="7" t="s">
        <v>207</v>
      </c>
      <c r="B70" s="7" t="s">
        <v>211</v>
      </c>
      <c r="C70" s="10" t="s">
        <v>138</v>
      </c>
      <c r="D70" s="14" t="s">
        <v>141</v>
      </c>
      <c r="E70" s="14" t="s">
        <v>138</v>
      </c>
      <c r="F70" s="14" t="s">
        <v>138</v>
      </c>
      <c r="G70" s="22" t="n">
        <v>1</v>
      </c>
      <c r="H70" s="23" t="n">
        <f aca="false">Coverage_Factors!B7</f>
        <v>1.2</v>
      </c>
      <c r="I70" s="17" t="n">
        <f aca="false">G70*H70</f>
        <v>1.2</v>
      </c>
    </row>
    <row r="71" customFormat="false" ht="15" hidden="false" customHeight="false" outlineLevel="0" collapsed="false">
      <c r="A71" s="18" t="s">
        <v>207</v>
      </c>
      <c r="B71" s="18" t="s">
        <v>212</v>
      </c>
      <c r="C71" s="19" t="s">
        <v>138</v>
      </c>
      <c r="D71" s="20" t="s">
        <v>141</v>
      </c>
      <c r="E71" s="20" t="s">
        <v>138</v>
      </c>
      <c r="F71" s="20" t="s">
        <v>138</v>
      </c>
      <c r="G71" s="22" t="n">
        <v>1</v>
      </c>
      <c r="H71" s="24" t="n">
        <f aca="false">Coverage_Factors!B6</f>
        <v>1</v>
      </c>
      <c r="I71" s="17" t="n">
        <f aca="false">G71*H71</f>
        <v>1</v>
      </c>
    </row>
    <row r="72" customFormat="false" ht="15" hidden="false" customHeight="false" outlineLevel="0" collapsed="false">
      <c r="A72" s="7" t="s">
        <v>207</v>
      </c>
      <c r="B72" s="7" t="s">
        <v>213</v>
      </c>
      <c r="C72" s="10" t="s">
        <v>138</v>
      </c>
      <c r="D72" s="14" t="s">
        <v>141</v>
      </c>
      <c r="E72" s="14" t="s">
        <v>138</v>
      </c>
      <c r="F72" s="14" t="s">
        <v>138</v>
      </c>
      <c r="G72" s="22" t="n">
        <v>0</v>
      </c>
      <c r="H72" s="23" t="n">
        <f aca="false">Coverage_Factors!B7</f>
        <v>1.2</v>
      </c>
      <c r="I72" s="17" t="n">
        <f aca="false">G72*H72</f>
        <v>0</v>
      </c>
    </row>
    <row r="73" customFormat="false" ht="15" hidden="false" customHeight="false" outlineLevel="0" collapsed="false">
      <c r="A73" s="18" t="s">
        <v>214</v>
      </c>
      <c r="B73" s="18" t="s">
        <v>215</v>
      </c>
      <c r="C73" s="19" t="s">
        <v>138</v>
      </c>
      <c r="D73" s="20" t="s">
        <v>141</v>
      </c>
      <c r="E73" s="20" t="s">
        <v>138</v>
      </c>
      <c r="F73" s="20" t="s">
        <v>138</v>
      </c>
      <c r="G73" s="22" t="n">
        <v>0</v>
      </c>
      <c r="H73" s="24" t="n">
        <f aca="false">Coverage_Factors!B7</f>
        <v>1.2</v>
      </c>
      <c r="I73" s="17" t="n">
        <f aca="false">G73*H73</f>
        <v>0</v>
      </c>
    </row>
    <row r="74" customFormat="false" ht="15" hidden="false" customHeight="false" outlineLevel="0" collapsed="false">
      <c r="A74" s="7" t="s">
        <v>214</v>
      </c>
      <c r="B74" s="7" t="s">
        <v>216</v>
      </c>
      <c r="C74" s="10" t="s">
        <v>138</v>
      </c>
      <c r="D74" s="14" t="s">
        <v>141</v>
      </c>
      <c r="E74" s="14" t="s">
        <v>138</v>
      </c>
      <c r="F74" s="14" t="s">
        <v>138</v>
      </c>
      <c r="G74" s="22" t="n">
        <v>0</v>
      </c>
      <c r="H74" s="23" t="n">
        <f aca="false">Coverage_Factors!B7</f>
        <v>1.2</v>
      </c>
      <c r="I74" s="17" t="n">
        <f aca="false">G74*H74</f>
        <v>0</v>
      </c>
    </row>
    <row r="75" customFormat="false" ht="15" hidden="false" customHeight="false" outlineLevel="0" collapsed="false">
      <c r="A75" s="18" t="s">
        <v>214</v>
      </c>
      <c r="B75" s="18" t="s">
        <v>217</v>
      </c>
      <c r="C75" s="19" t="s">
        <v>138</v>
      </c>
      <c r="D75" s="20" t="s">
        <v>141</v>
      </c>
      <c r="E75" s="20" t="s">
        <v>138</v>
      </c>
      <c r="F75" s="20" t="s">
        <v>138</v>
      </c>
      <c r="G75" s="22" t="n">
        <v>0</v>
      </c>
      <c r="H75" s="24" t="n">
        <f aca="false">Coverage_Factors!B7</f>
        <v>1.2</v>
      </c>
      <c r="I75" s="17" t="n">
        <f aca="false">G75*H75</f>
        <v>0</v>
      </c>
    </row>
    <row r="76" customFormat="false" ht="15" hidden="false" customHeight="false" outlineLevel="0" collapsed="false">
      <c r="A76" s="7" t="s">
        <v>214</v>
      </c>
      <c r="B76" s="7" t="s">
        <v>218</v>
      </c>
      <c r="C76" s="10" t="s">
        <v>138</v>
      </c>
      <c r="D76" s="14" t="s">
        <v>141</v>
      </c>
      <c r="E76" s="14" t="s">
        <v>138</v>
      </c>
      <c r="F76" s="14" t="s">
        <v>138</v>
      </c>
      <c r="G76" s="22" t="n">
        <v>0</v>
      </c>
      <c r="H76" s="23" t="n">
        <f aca="false">Coverage_Factors!B7</f>
        <v>1.2</v>
      </c>
      <c r="I76" s="17" t="n">
        <f aca="false">G76*H76</f>
        <v>0</v>
      </c>
    </row>
    <row r="77" customFormat="false" ht="15" hidden="false" customHeight="false" outlineLevel="0" collapsed="false">
      <c r="A77" s="18" t="s">
        <v>214</v>
      </c>
      <c r="B77" s="18" t="s">
        <v>219</v>
      </c>
      <c r="C77" s="19" t="s">
        <v>138</v>
      </c>
      <c r="D77" s="20" t="s">
        <v>141</v>
      </c>
      <c r="E77" s="20" t="s">
        <v>138</v>
      </c>
      <c r="F77" s="20" t="s">
        <v>138</v>
      </c>
      <c r="G77" s="22" t="n">
        <v>0</v>
      </c>
      <c r="H77" s="24" t="n">
        <f aca="false">Coverage_Factors!B7</f>
        <v>1.2</v>
      </c>
      <c r="I77" s="17" t="n">
        <f aca="false">G77*H77</f>
        <v>0</v>
      </c>
    </row>
    <row r="78" customFormat="false" ht="15" hidden="false" customHeight="false" outlineLevel="0" collapsed="false">
      <c r="A78" s="7" t="s">
        <v>214</v>
      </c>
      <c r="B78" s="7" t="s">
        <v>220</v>
      </c>
      <c r="C78" s="10" t="s">
        <v>138</v>
      </c>
      <c r="D78" s="14" t="s">
        <v>141</v>
      </c>
      <c r="E78" s="14" t="s">
        <v>138</v>
      </c>
      <c r="F78" s="14" t="s">
        <v>138</v>
      </c>
      <c r="G78" s="22" t="n">
        <v>0</v>
      </c>
      <c r="H78" s="23" t="n">
        <f aca="false">Coverage_Factors!B6</f>
        <v>1</v>
      </c>
      <c r="I78" s="17" t="n">
        <f aca="false">G78*H78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5" t="s">
        <v>222</v>
      </c>
      <c r="B1" s="5"/>
      <c r="C1" s="5"/>
      <c r="D1" s="5"/>
      <c r="E1" s="5"/>
      <c r="F1" s="5"/>
      <c r="G1" s="5"/>
      <c r="H1" s="5"/>
    </row>
    <row r="3" customFormat="false" ht="26.85" hidden="false" customHeight="false" outlineLevel="0" collapsed="false">
      <c r="A3" s="6" t="s">
        <v>127</v>
      </c>
      <c r="B3" s="6" t="s">
        <v>223</v>
      </c>
      <c r="C3" s="6" t="s">
        <v>224</v>
      </c>
      <c r="D3" s="6" t="s">
        <v>225</v>
      </c>
      <c r="E3" s="6" t="s">
        <v>226</v>
      </c>
      <c r="F3" s="6" t="s">
        <v>227</v>
      </c>
      <c r="G3" s="6" t="s">
        <v>228</v>
      </c>
      <c r="H3" s="6" t="s">
        <v>229</v>
      </c>
    </row>
    <row r="4" customFormat="false" ht="15" hidden="false" customHeight="false" outlineLevel="0" collapsed="false">
      <c r="A4" s="25" t="s">
        <v>135</v>
      </c>
      <c r="B4" s="26" t="n">
        <f aca="false">SUMIF(Staffing_Model_KCCF!A:A,A4,Staffing_Model_KCCF!I:I)</f>
        <v>68.6355168269231</v>
      </c>
      <c r="C4" s="27" t="n">
        <f aca="false">SUMIF(Staffing_Model_MRJC!A:A,A4,Staffing_Model_MRJC!I:I)</f>
        <v>50.4451522435897</v>
      </c>
      <c r="D4" s="28" t="n">
        <f aca="false">B4+C4</f>
        <v>119.080669070513</v>
      </c>
      <c r="E4" s="12" t="n">
        <v>0.425</v>
      </c>
      <c r="F4" s="29" t="n">
        <f aca="false">E4*$B$14</f>
        <v>106.25</v>
      </c>
      <c r="G4" s="30" t="n">
        <f aca="false">D4-F4</f>
        <v>12.8306690705128</v>
      </c>
      <c r="H4" s="31" t="n">
        <f aca="false">IFERROR((D4-F4)/F4,0)</f>
        <v>0.120759238310709</v>
      </c>
    </row>
    <row r="5" customFormat="false" ht="15" hidden="false" customHeight="false" outlineLevel="0" collapsed="false">
      <c r="A5" s="25" t="s">
        <v>153</v>
      </c>
      <c r="B5" s="26" t="n">
        <f aca="false">SUMIF(Staffing_Model_KCCF!A:A,A5,Staffing_Model_KCCF!I:I)</f>
        <v>33.8847355769231</v>
      </c>
      <c r="C5" s="27" t="n">
        <f aca="false">SUMIF(Staffing_Model_MRJC!A:A,A5,Staffing_Model_MRJC!I:I)</f>
        <v>20.2489282852564</v>
      </c>
      <c r="D5" s="28" t="n">
        <f aca="false">B5+C5</f>
        <v>54.1336638621795</v>
      </c>
      <c r="E5" s="12" t="n">
        <v>0.179</v>
      </c>
      <c r="F5" s="29" t="n">
        <f aca="false">E5*$B$14</f>
        <v>44.75</v>
      </c>
      <c r="G5" s="30" t="n">
        <f aca="false">D5-F5</f>
        <v>9.38366386217949</v>
      </c>
      <c r="H5" s="31" t="n">
        <f aca="false">IFERROR((D5-F5)/F5,0)</f>
        <v>0.20969081256267</v>
      </c>
    </row>
    <row r="6" customFormat="false" ht="15" hidden="false" customHeight="false" outlineLevel="0" collapsed="false">
      <c r="A6" s="25" t="s">
        <v>171</v>
      </c>
      <c r="B6" s="26" t="n">
        <f aca="false">SUMIF(Staffing_Model_KCCF!A:A,A6,Staffing_Model_KCCF!I:I)</f>
        <v>12.7542868589744</v>
      </c>
      <c r="C6" s="27" t="n">
        <f aca="false">SUMIF(Staffing_Model_MRJC!A:A,A6,Staffing_Model_MRJC!I:I)</f>
        <v>7.73856169871795</v>
      </c>
      <c r="D6" s="28" t="n">
        <f aca="false">B6+C6</f>
        <v>20.4928485576923</v>
      </c>
      <c r="E6" s="12" t="n">
        <v>0.091</v>
      </c>
      <c r="F6" s="29" t="n">
        <f aca="false">E6*$B$14</f>
        <v>22.75</v>
      </c>
      <c r="G6" s="30" t="n">
        <f aca="false">D6-F6</f>
        <v>-2.2571514423077</v>
      </c>
      <c r="H6" s="31" t="n">
        <f aca="false">IFERROR((D6-F6)/F6,0)</f>
        <v>-0.0992154480135251</v>
      </c>
    </row>
    <row r="7" customFormat="false" ht="15" hidden="false" customHeight="false" outlineLevel="0" collapsed="false">
      <c r="A7" s="25" t="s">
        <v>200</v>
      </c>
      <c r="B7" s="26" t="n">
        <f aca="false">SUMIF(Staffing_Model_KCCF!A:A,A7,Staffing_Model_KCCF!I:I)</f>
        <v>11.9137219551282</v>
      </c>
      <c r="C7" s="27" t="n">
        <f aca="false">SUMIF(Staffing_Model_MRJC!A:A,A7,Staffing_Model_MRJC!I:I)</f>
        <v>5.0845953525641</v>
      </c>
      <c r="D7" s="28" t="n">
        <f aca="false">B7+C7</f>
        <v>16.9983173076923</v>
      </c>
      <c r="E7" s="12" t="n">
        <v>0.081</v>
      </c>
      <c r="F7" s="29" t="n">
        <f aca="false">E7*$B$14</f>
        <v>20.25</v>
      </c>
      <c r="G7" s="30" t="n">
        <f aca="false">D7-F7</f>
        <v>-3.25168269230769</v>
      </c>
      <c r="H7" s="31" t="n">
        <f aca="false">IFERROR((D7-F7)/F7,0)</f>
        <v>-0.160576923076923</v>
      </c>
    </row>
    <row r="8" customFormat="false" ht="15" hidden="false" customHeight="false" outlineLevel="0" collapsed="false">
      <c r="A8" s="25" t="s">
        <v>182</v>
      </c>
      <c r="B8" s="26" t="n">
        <f aca="false">SUMIF(Staffing_Model_KCCF!A:A,A8,Staffing_Model_KCCF!I:I)</f>
        <v>7.94701522435897</v>
      </c>
      <c r="C8" s="27" t="n">
        <f aca="false">SUMIF(Staffing_Model_MRJC!A:A,A8,Staffing_Model_MRJC!I:I)</f>
        <v>5.917578125</v>
      </c>
      <c r="D8" s="28" t="n">
        <f aca="false">B8+C8</f>
        <v>13.864593349359</v>
      </c>
      <c r="E8" s="12" t="n">
        <v>0.066</v>
      </c>
      <c r="F8" s="29" t="n">
        <f aca="false">E8*$B$14</f>
        <v>16.5</v>
      </c>
      <c r="G8" s="30" t="n">
        <f aca="false">D8-F8</f>
        <v>-2.63540665064103</v>
      </c>
      <c r="H8" s="31" t="n">
        <f aca="false">IFERROR((D8-F8)/F8,0)</f>
        <v>-0.159721615190365</v>
      </c>
    </row>
    <row r="9" customFormat="false" ht="15" hidden="false" customHeight="false" outlineLevel="0" collapsed="false">
      <c r="A9" s="25" t="s">
        <v>192</v>
      </c>
      <c r="B9" s="26" t="n">
        <f aca="false">SUMIF(Staffing_Model_KCCF!A:A,A9,Staffing_Model_KCCF!I:I)</f>
        <v>10.7653245192308</v>
      </c>
      <c r="C9" s="27" t="n">
        <f aca="false">SUMIF(Staffing_Model_MRJC!A:A,A9,Staffing_Model_MRJC!I:I)</f>
        <v>8.09649439102564</v>
      </c>
      <c r="D9" s="28" t="n">
        <f aca="false">B9+C9</f>
        <v>18.8618189102564</v>
      </c>
      <c r="E9" s="12" t="n">
        <v>0.066</v>
      </c>
      <c r="F9" s="29" t="n">
        <f aca="false">E9*$B$14</f>
        <v>16.5</v>
      </c>
      <c r="G9" s="30" t="n">
        <f aca="false">D9-F9</f>
        <v>2.36181891025641</v>
      </c>
      <c r="H9" s="31" t="n">
        <f aca="false">IFERROR((D9-F9)/F9,0)</f>
        <v>0.14314054001554</v>
      </c>
    </row>
    <row r="10" customFormat="false" ht="15" hidden="false" customHeight="false" outlineLevel="0" collapsed="false">
      <c r="A10" s="25" t="s">
        <v>207</v>
      </c>
      <c r="B10" s="26" t="n">
        <f aca="false">SUMIF(Staffing_Model_KCCF!A:A,A10,Staffing_Model_KCCF!I:I)</f>
        <v>10.4</v>
      </c>
      <c r="C10" s="27" t="n">
        <f aca="false">SUMIF(Staffing_Model_MRJC!A:A,A10,Staffing_Model_MRJC!I:I)</f>
        <v>4.6</v>
      </c>
      <c r="D10" s="28" t="n">
        <f aca="false">B10+C10</f>
        <v>15</v>
      </c>
      <c r="E10" s="12" t="n">
        <v>0.055</v>
      </c>
      <c r="F10" s="29" t="n">
        <f aca="false">E10*$B$14</f>
        <v>13.75</v>
      </c>
      <c r="G10" s="30" t="n">
        <f aca="false">D10-F10</f>
        <v>1.25</v>
      </c>
      <c r="H10" s="31" t="n">
        <f aca="false">IFERROR((D10-F10)/F10,0)</f>
        <v>0.0909090909090909</v>
      </c>
    </row>
    <row r="11" customFormat="false" ht="15" hidden="false" customHeight="false" outlineLevel="0" collapsed="false">
      <c r="A11" s="25" t="s">
        <v>214</v>
      </c>
      <c r="B11" s="26" t="n">
        <f aca="false">SUMIF(Staffing_Model_KCCF!A:A,A11,Staffing_Model_KCCF!I:I)</f>
        <v>10.4</v>
      </c>
      <c r="C11" s="27" t="n">
        <f aca="false">SUMIF(Staffing_Model_MRJC!A:A,A11,Staffing_Model_MRJC!I:I)</f>
        <v>0</v>
      </c>
      <c r="D11" s="28" t="n">
        <f aca="false">B11+C11</f>
        <v>10.4</v>
      </c>
      <c r="E11" s="12" t="n">
        <v>0.037</v>
      </c>
      <c r="F11" s="29" t="n">
        <f aca="false">E11*$B$14</f>
        <v>9.25</v>
      </c>
      <c r="G11" s="30" t="n">
        <f aca="false">D11-F11</f>
        <v>1.15</v>
      </c>
      <c r="H11" s="31" t="n">
        <f aca="false">IFERROR((D11-F11)/F11,0)</f>
        <v>0.124324324324324</v>
      </c>
    </row>
    <row r="12" customFormat="false" ht="15" hidden="false" customHeight="false" outlineLevel="0" collapsed="false">
      <c r="A12" s="32" t="s">
        <v>230</v>
      </c>
      <c r="B12" s="33" t="n">
        <f aca="false">SUM(B4:B11)</f>
        <v>166.700600961538</v>
      </c>
      <c r="C12" s="33" t="n">
        <f aca="false">SUM(C4:C11)</f>
        <v>102.131310096154</v>
      </c>
      <c r="D12" s="33" t="n">
        <f aca="false">SUM(D4:D11)</f>
        <v>268.831911057692</v>
      </c>
      <c r="E12" s="34" t="n">
        <f aca="false">SUM(E4:E11)</f>
        <v>1</v>
      </c>
      <c r="F12" s="29" t="n">
        <f aca="false">SUM(F4:F11)</f>
        <v>250</v>
      </c>
      <c r="G12" s="30" t="n">
        <f aca="false">D12-F12</f>
        <v>18.8319110576923</v>
      </c>
      <c r="H12" s="31" t="n">
        <f aca="false">IFERROR((D12-F12)/F12,0)</f>
        <v>0.0753276442307692</v>
      </c>
    </row>
    <row r="14" customFormat="false" ht="15" hidden="false" customHeight="false" outlineLevel="0" collapsed="false">
      <c r="A14" s="35" t="s">
        <v>231</v>
      </c>
      <c r="B14" s="22" t="n">
        <v>250</v>
      </c>
    </row>
    <row r="15" customFormat="false" ht="15" hidden="false" customHeight="true" outlineLevel="0" collapsed="false">
      <c r="A15" s="36" t="s">
        <v>232</v>
      </c>
      <c r="B15" s="36"/>
      <c r="C15" s="36"/>
      <c r="D15" s="36"/>
      <c r="E15" s="36"/>
      <c r="F15" s="36"/>
      <c r="G15" s="36"/>
      <c r="H15" s="36"/>
    </row>
    <row r="17" customFormat="false" ht="15" hidden="false" customHeight="false" outlineLevel="0" collapsed="false">
      <c r="A17" s="37" t="s">
        <v>233</v>
      </c>
    </row>
    <row r="18" customFormat="false" ht="15" hidden="false" customHeight="false" outlineLevel="0" collapsed="false">
      <c r="A18" s="7" t="s">
        <v>234</v>
      </c>
      <c r="B18" s="26" t="n">
        <f aca="false">SUM(B4:B11)</f>
        <v>166.700600961538</v>
      </c>
    </row>
    <row r="19" customFormat="false" ht="15" hidden="false" customHeight="false" outlineLevel="0" collapsed="false">
      <c r="A19" s="7" t="s">
        <v>235</v>
      </c>
      <c r="B19" s="27" t="n">
        <f aca="false">SUM(C4:C11)</f>
        <v>102.131310096154</v>
      </c>
    </row>
    <row r="20" customFormat="false" ht="15" hidden="false" customHeight="false" outlineLevel="0" collapsed="false">
      <c r="A20" s="25" t="s">
        <v>236</v>
      </c>
      <c r="B20" s="33" t="n">
        <f aca="false">B18+B19</f>
        <v>268.831911057692</v>
      </c>
    </row>
  </sheetData>
  <mergeCells count="2">
    <mergeCell ref="A1:H1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5" t="s">
        <v>237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6" t="s">
        <v>238</v>
      </c>
      <c r="B3" s="6" t="s">
        <v>239</v>
      </c>
      <c r="C3" s="6" t="s">
        <v>240</v>
      </c>
      <c r="D3" s="6" t="s">
        <v>241</v>
      </c>
      <c r="E3" s="6" t="s">
        <v>242</v>
      </c>
      <c r="F3" s="6" t="s">
        <v>113</v>
      </c>
    </row>
    <row r="4" customFormat="false" ht="15" hidden="false" customHeight="false" outlineLevel="0" collapsed="false">
      <c r="A4" s="7" t="s">
        <v>243</v>
      </c>
      <c r="B4" s="38" t="n">
        <v>0</v>
      </c>
      <c r="C4" s="39" t="n">
        <v>0</v>
      </c>
      <c r="D4" s="40" t="n">
        <f aca="false">B4+C4</f>
        <v>0</v>
      </c>
      <c r="E4" s="28" t="n">
        <f aca="false">Summary!B20+D4</f>
        <v>268.831911057692</v>
      </c>
      <c r="F4" s="10" t="s">
        <v>244</v>
      </c>
    </row>
    <row r="5" customFormat="false" ht="22.35" hidden="false" customHeight="false" outlineLevel="0" collapsed="false">
      <c r="A5" s="7" t="s">
        <v>245</v>
      </c>
      <c r="B5" s="38" t="n">
        <v>3</v>
      </c>
      <c r="C5" s="39" t="n">
        <v>3</v>
      </c>
      <c r="D5" s="40" t="n">
        <f aca="false">B5+C5</f>
        <v>6</v>
      </c>
      <c r="E5" s="28" t="n">
        <f aca="false">Summary!B20+D5</f>
        <v>274.831911057692</v>
      </c>
      <c r="F5" s="10" t="s">
        <v>246</v>
      </c>
    </row>
    <row r="6" customFormat="false" ht="22.35" hidden="false" customHeight="false" outlineLevel="0" collapsed="false">
      <c r="A6" s="7" t="s">
        <v>247</v>
      </c>
      <c r="B6" s="38" t="n">
        <v>5</v>
      </c>
      <c r="C6" s="39" t="n">
        <v>3</v>
      </c>
      <c r="D6" s="40" t="n">
        <f aca="false">B6+C6</f>
        <v>8</v>
      </c>
      <c r="E6" s="28" t="n">
        <f aca="false">Summary!B20+D6</f>
        <v>276.831911057692</v>
      </c>
      <c r="F6" s="10" t="s">
        <v>248</v>
      </c>
    </row>
    <row r="7" customFormat="false" ht="22.35" hidden="false" customHeight="false" outlineLevel="0" collapsed="false">
      <c r="A7" s="7" t="s">
        <v>249</v>
      </c>
      <c r="B7" s="38" t="n">
        <v>7</v>
      </c>
      <c r="C7" s="39" t="n">
        <v>4</v>
      </c>
      <c r="D7" s="40" t="n">
        <f aca="false">B7+C7</f>
        <v>11</v>
      </c>
      <c r="E7" s="28" t="n">
        <f aca="false">Summary!B20+D7</f>
        <v>279.831911057692</v>
      </c>
      <c r="F7" s="10" t="s">
        <v>250</v>
      </c>
    </row>
    <row r="8" customFormat="false" ht="22.35" hidden="false" customHeight="false" outlineLevel="0" collapsed="false">
      <c r="A8" s="7" t="s">
        <v>251</v>
      </c>
      <c r="B8" s="38" t="n">
        <v>9</v>
      </c>
      <c r="C8" s="39" t="n">
        <v>6</v>
      </c>
      <c r="D8" s="40" t="n">
        <f aca="false">B8+C8</f>
        <v>15</v>
      </c>
      <c r="E8" s="28" t="n">
        <f aca="false">Summary!B20+D8</f>
        <v>283.831911057692</v>
      </c>
      <c r="F8" s="10" t="s">
        <v>252</v>
      </c>
    </row>
    <row r="9" customFormat="false" ht="15" hidden="false" customHeight="false" outlineLevel="0" collapsed="false">
      <c r="A9" s="7" t="s">
        <v>253</v>
      </c>
      <c r="B9" s="38" t="n">
        <v>15</v>
      </c>
      <c r="C9" s="39" t="n">
        <v>9</v>
      </c>
      <c r="D9" s="40" t="n">
        <f aca="false">B9+C9</f>
        <v>24</v>
      </c>
      <c r="E9" s="28" t="n">
        <f aca="false">Summary!B20+D9</f>
        <v>292.831911057692</v>
      </c>
      <c r="F9" s="10" t="s">
        <v>254</v>
      </c>
    </row>
    <row r="10" customFormat="false" ht="22.35" hidden="false" customHeight="false" outlineLevel="0" collapsed="false">
      <c r="A10" s="7" t="s">
        <v>255</v>
      </c>
      <c r="B10" s="38" t="n">
        <v>3</v>
      </c>
      <c r="C10" s="39" t="n">
        <v>4</v>
      </c>
      <c r="D10" s="40" t="n">
        <f aca="false">B10+C10</f>
        <v>7</v>
      </c>
      <c r="E10" s="28" t="n">
        <f aca="false">Summary!B20+D10</f>
        <v>275.831911057692</v>
      </c>
      <c r="F10" s="10" t="s">
        <v>256</v>
      </c>
    </row>
    <row r="11" customFormat="false" ht="15" hidden="false" customHeight="false" outlineLevel="0" collapsed="false">
      <c r="A11" s="7" t="s">
        <v>257</v>
      </c>
      <c r="B11" s="38" t="n">
        <v>2</v>
      </c>
      <c r="C11" s="39" t="n">
        <v>0</v>
      </c>
      <c r="D11" s="40" t="n">
        <f aca="false">B11+C11</f>
        <v>2</v>
      </c>
      <c r="E11" s="28" t="n">
        <f aca="false">Summary!B20+D11</f>
        <v>270.831911057692</v>
      </c>
      <c r="F11" s="10" t="s">
        <v>258</v>
      </c>
    </row>
    <row r="12" customFormat="false" ht="22.35" hidden="false" customHeight="false" outlineLevel="0" collapsed="false">
      <c r="A12" s="7" t="s">
        <v>259</v>
      </c>
      <c r="B12" s="38" t="n">
        <v>19</v>
      </c>
      <c r="C12" s="39" t="n">
        <v>13</v>
      </c>
      <c r="D12" s="40" t="n">
        <f aca="false">B12+C12</f>
        <v>32</v>
      </c>
      <c r="E12" s="28" t="n">
        <f aca="false">Summary!B20+D12</f>
        <v>300.831911057692</v>
      </c>
      <c r="F12" s="10" t="s">
        <v>260</v>
      </c>
    </row>
    <row r="15" customFormat="false" ht="39.75" hidden="false" customHeight="true" outlineLevel="0" collapsed="false">
      <c r="A15" s="41" t="s">
        <v>261</v>
      </c>
      <c r="B15" s="41"/>
      <c r="C15" s="41"/>
      <c r="D15" s="41"/>
      <c r="E15" s="41"/>
      <c r="F15" s="41"/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2026-04-21T02:19:37Z</dcterms:created>
  <dc:creator>openpyxl</dc:creator>
  <dc:description/>
  <dc:language>en-US</dc:language>
  <cp:lastModifiedBy/>
  <dcterms:modified xsi:type="dcterms:W3CDTF">2026-04-21T02:19:37Z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