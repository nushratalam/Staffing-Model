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ushr\Dropbox\Resume\2026\King County\files\"/>
    </mc:Choice>
  </mc:AlternateContent>
  <xr:revisionPtr revIDLastSave="0" documentId="13_ncr:1_{5A0F72A5-F919-452C-852E-DB1115DB91FD}" xr6:coauthVersionLast="47" xr6:coauthVersionMax="47" xr10:uidLastSave="{00000000-0000-0000-0000-000000000000}"/>
  <bookViews>
    <workbookView xWindow="-110" yWindow="-110" windowWidth="19420" windowHeight="10300" activeTab="1" xr2:uid="{8C6D3F34-5590-49E6-A824-4B3FB490B045}"/>
  </bookViews>
  <sheets>
    <sheet name="Data" sheetId="1" r:id="rId1"/>
    <sheet name="Summary" sheetId="2"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 i="1" l="1"/>
  <c r="E4" i="1"/>
  <c r="E5" i="1"/>
  <c r="E6" i="1"/>
  <c r="E7" i="1"/>
  <c r="E8" i="1"/>
  <c r="E9" i="1"/>
  <c r="E10" i="1"/>
  <c r="E11" i="1"/>
  <c r="E12" i="1"/>
  <c r="E13" i="1"/>
  <c r="E2" i="1"/>
  <c r="D4" i="1"/>
  <c r="D5" i="1"/>
  <c r="D6" i="1"/>
  <c r="D7" i="1"/>
  <c r="D8" i="1"/>
  <c r="D9" i="1"/>
  <c r="D10" i="1"/>
  <c r="C4" i="1"/>
  <c r="C9" i="1"/>
</calcChain>
</file>

<file path=xl/sharedStrings.xml><?xml version="1.0" encoding="utf-8"?>
<sst xmlns="http://schemas.openxmlformats.org/spreadsheetml/2006/main" count="7" uniqueCount="7">
  <si>
    <t>Month</t>
  </si>
  <si>
    <t xml:space="preserve">FTE Need </t>
  </si>
  <si>
    <t>Budget FTE</t>
  </si>
  <si>
    <t>Actual FTEs</t>
  </si>
  <si>
    <t>Capacity in FTE</t>
  </si>
  <si>
    <t>Summary:</t>
  </si>
  <si>
    <t xml:space="preserve">Below is the FTE need based on synthetic data mimicking the Flu season in 2025. The Orange line represents the daily FTE need, dark gray bar is for the actual FTE and lighter gray bars for the projected/forecasted FTEs after applying attrition, and new hires throughout the year. The green dotted line is the FTE budget and the  blue bar in the data table is showing the daily capacity for each month. negative numbers in this category represents the depatment will be understaffed for that 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</si>
</sst>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0" fontId="1" fillId="0" borderId="0" xfId="0" applyFont="1"/>
    <xf numFmtId="0" fontId="2"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Staffing Model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Data!$B$1</c:f>
              <c:strCache>
                <c:ptCount val="1"/>
                <c:pt idx="0">
                  <c:v>Actual FTEs</c:v>
                </c:pt>
              </c:strCache>
            </c:strRef>
          </c:tx>
          <c:spPr>
            <a:solidFill>
              <a:schemeClr val="bg1">
                <a:lumMod val="85000"/>
              </a:schemeClr>
            </a:solidFill>
            <a:ln>
              <a:solidFill>
                <a:schemeClr val="bg1">
                  <a:lumMod val="75000"/>
                </a:schemeClr>
              </a:solidFill>
            </a:ln>
            <a:effectLst/>
          </c:spPr>
          <c:invertIfNegative val="0"/>
          <c:dPt>
            <c:idx val="0"/>
            <c:invertIfNegative val="0"/>
            <c:bubble3D val="0"/>
            <c:spPr>
              <a:solidFill>
                <a:schemeClr val="bg1">
                  <a:lumMod val="65000"/>
                </a:schemeClr>
              </a:solidFill>
              <a:ln>
                <a:solidFill>
                  <a:schemeClr val="bg1">
                    <a:lumMod val="75000"/>
                  </a:schemeClr>
                </a:solidFill>
              </a:ln>
              <a:effectLst/>
            </c:spPr>
            <c:extLst>
              <c:ext xmlns:c16="http://schemas.microsoft.com/office/drawing/2014/chart" uri="{C3380CC4-5D6E-409C-BE32-E72D297353CC}">
                <c16:uniqueId val="{00000000-F028-4C9B-83A9-9995F0154299}"/>
              </c:ext>
            </c:extLst>
          </c:dPt>
          <c:dPt>
            <c:idx val="1"/>
            <c:invertIfNegative val="0"/>
            <c:bubble3D val="0"/>
            <c:spPr>
              <a:solidFill>
                <a:schemeClr val="bg1">
                  <a:lumMod val="65000"/>
                </a:schemeClr>
              </a:solidFill>
              <a:ln>
                <a:solidFill>
                  <a:schemeClr val="bg1">
                    <a:lumMod val="75000"/>
                  </a:schemeClr>
                </a:solidFill>
              </a:ln>
              <a:effectLst/>
            </c:spPr>
            <c:extLst>
              <c:ext xmlns:c16="http://schemas.microsoft.com/office/drawing/2014/chart" uri="{C3380CC4-5D6E-409C-BE32-E72D297353CC}">
                <c16:uniqueId val="{00000001-F028-4C9B-83A9-9995F0154299}"/>
              </c:ext>
            </c:extLst>
          </c:dPt>
          <c:dPt>
            <c:idx val="2"/>
            <c:invertIfNegative val="0"/>
            <c:bubble3D val="0"/>
            <c:spPr>
              <a:solidFill>
                <a:schemeClr val="bg1">
                  <a:lumMod val="65000"/>
                </a:schemeClr>
              </a:solidFill>
              <a:ln>
                <a:solidFill>
                  <a:schemeClr val="bg1">
                    <a:lumMod val="75000"/>
                  </a:schemeClr>
                </a:solidFill>
              </a:ln>
              <a:effectLst/>
            </c:spPr>
            <c:extLst>
              <c:ext xmlns:c16="http://schemas.microsoft.com/office/drawing/2014/chart" uri="{C3380CC4-5D6E-409C-BE32-E72D297353CC}">
                <c16:uniqueId val="{00000002-F028-4C9B-83A9-9995F0154299}"/>
              </c:ext>
            </c:extLst>
          </c:dPt>
          <c:dPt>
            <c:idx val="3"/>
            <c:invertIfNegative val="0"/>
            <c:bubble3D val="0"/>
            <c:spPr>
              <a:solidFill>
                <a:schemeClr val="bg1">
                  <a:lumMod val="65000"/>
                </a:schemeClr>
              </a:solidFill>
              <a:ln>
                <a:solidFill>
                  <a:schemeClr val="bg1">
                    <a:lumMod val="75000"/>
                  </a:schemeClr>
                </a:solidFill>
              </a:ln>
              <a:effectLst/>
            </c:spPr>
            <c:extLst>
              <c:ext xmlns:c16="http://schemas.microsoft.com/office/drawing/2014/chart" uri="{C3380CC4-5D6E-409C-BE32-E72D297353CC}">
                <c16:uniqueId val="{00000003-F028-4C9B-83A9-9995F0154299}"/>
              </c:ext>
            </c:extLst>
          </c:dPt>
          <c:cat>
            <c:numRef>
              <c:f>Data!$A$2:$A$13</c:f>
              <c:numCache>
                <c:formatCode>General</c:formatCod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numCache>
            </c:numRef>
          </c:cat>
          <c:val>
            <c:numRef>
              <c:f>Data!$B$2:$B$13</c:f>
              <c:numCache>
                <c:formatCode>General</c:formatCode>
                <c:ptCount val="12"/>
                <c:pt idx="0">
                  <c:v>237</c:v>
                </c:pt>
                <c:pt idx="1">
                  <c:v>237</c:v>
                </c:pt>
                <c:pt idx="2">
                  <c:v>218</c:v>
                </c:pt>
                <c:pt idx="3">
                  <c:v>227</c:v>
                </c:pt>
                <c:pt idx="4">
                  <c:v>226</c:v>
                </c:pt>
                <c:pt idx="5">
                  <c:v>237</c:v>
                </c:pt>
                <c:pt idx="6">
                  <c:v>244</c:v>
                </c:pt>
                <c:pt idx="7">
                  <c:v>232</c:v>
                </c:pt>
                <c:pt idx="8">
                  <c:v>232</c:v>
                </c:pt>
                <c:pt idx="9">
                  <c:v>237</c:v>
                </c:pt>
                <c:pt idx="10">
                  <c:v>237</c:v>
                </c:pt>
                <c:pt idx="11">
                  <c:v>237</c:v>
                </c:pt>
              </c:numCache>
            </c:numRef>
          </c:val>
          <c:extLst>
            <c:ext xmlns:c16="http://schemas.microsoft.com/office/drawing/2014/chart" uri="{C3380CC4-5D6E-409C-BE32-E72D297353CC}">
              <c16:uniqueId val="{00000000-CD8A-4F1F-A4E9-65C1F517AB83}"/>
            </c:ext>
          </c:extLst>
        </c:ser>
        <c:ser>
          <c:idx val="3"/>
          <c:order val="3"/>
          <c:tx>
            <c:strRef>
              <c:f>Data!$E$1</c:f>
              <c:strCache>
                <c:ptCount val="1"/>
                <c:pt idx="0">
                  <c:v>Capacity in FTE</c:v>
                </c:pt>
              </c:strCache>
            </c:strRef>
          </c:tx>
          <c:spPr>
            <a:solidFill>
              <a:schemeClr val="accent4"/>
            </a:solidFill>
            <a:ln>
              <a:noFill/>
            </a:ln>
            <a:effectLst/>
          </c:spPr>
          <c:invertIfNegative val="0"/>
          <c:cat>
            <c:numRef>
              <c:f>Data!$A$2:$A$13</c:f>
              <c:numCache>
                <c:formatCode>General</c:formatCod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numCache>
            </c:numRef>
          </c:cat>
          <c:val>
            <c:numRef>
              <c:f>Data!$E$2:$E$13</c:f>
              <c:numCache>
                <c:formatCode>0</c:formatCode>
                <c:ptCount val="12"/>
                <c:pt idx="0">
                  <c:v>3</c:v>
                </c:pt>
                <c:pt idx="1">
                  <c:v>-7</c:v>
                </c:pt>
                <c:pt idx="2">
                  <c:v>6.539999999999992</c:v>
                </c:pt>
                <c:pt idx="3">
                  <c:v>-6</c:v>
                </c:pt>
                <c:pt idx="4">
                  <c:v>2</c:v>
                </c:pt>
                <c:pt idx="5">
                  <c:v>2</c:v>
                </c:pt>
                <c:pt idx="6">
                  <c:v>-2</c:v>
                </c:pt>
                <c:pt idx="7">
                  <c:v>6.960000000000008</c:v>
                </c:pt>
                <c:pt idx="8">
                  <c:v>-2</c:v>
                </c:pt>
                <c:pt idx="9">
                  <c:v>-2</c:v>
                </c:pt>
                <c:pt idx="10">
                  <c:v>3</c:v>
                </c:pt>
                <c:pt idx="11">
                  <c:v>5</c:v>
                </c:pt>
              </c:numCache>
            </c:numRef>
          </c:val>
          <c:extLst>
            <c:ext xmlns:c16="http://schemas.microsoft.com/office/drawing/2014/chart" uri="{C3380CC4-5D6E-409C-BE32-E72D297353CC}">
              <c16:uniqueId val="{00000003-CD8A-4F1F-A4E9-65C1F517AB83}"/>
            </c:ext>
          </c:extLst>
        </c:ser>
        <c:dLbls>
          <c:showLegendKey val="0"/>
          <c:showVal val="0"/>
          <c:showCatName val="0"/>
          <c:showSerName val="0"/>
          <c:showPercent val="0"/>
          <c:showBubbleSize val="0"/>
        </c:dLbls>
        <c:gapWidth val="150"/>
        <c:axId val="591780879"/>
        <c:axId val="591774159"/>
      </c:barChart>
      <c:lineChart>
        <c:grouping val="standard"/>
        <c:varyColors val="0"/>
        <c:ser>
          <c:idx val="1"/>
          <c:order val="1"/>
          <c:tx>
            <c:strRef>
              <c:f>Data!$C$1</c:f>
              <c:strCache>
                <c:ptCount val="1"/>
                <c:pt idx="0">
                  <c:v>FTE Need </c:v>
                </c:pt>
              </c:strCache>
            </c:strRef>
          </c:tx>
          <c:spPr>
            <a:ln w="28575" cap="rnd">
              <a:solidFill>
                <a:schemeClr val="accent2"/>
              </a:solidFill>
              <a:round/>
            </a:ln>
            <a:effectLst/>
          </c:spPr>
          <c:marker>
            <c:symbol val="none"/>
          </c:marker>
          <c:cat>
            <c:numRef>
              <c:f>Data!$A$2:$A$13</c:f>
              <c:numCache>
                <c:formatCode>General</c:formatCod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numCache>
            </c:numRef>
          </c:cat>
          <c:val>
            <c:numRef>
              <c:f>Data!$C$2:$C$13</c:f>
              <c:numCache>
                <c:formatCode>0</c:formatCode>
                <c:ptCount val="12"/>
                <c:pt idx="0">
                  <c:v>240</c:v>
                </c:pt>
                <c:pt idx="1">
                  <c:v>230</c:v>
                </c:pt>
                <c:pt idx="2">
                  <c:v>224.54</c:v>
                </c:pt>
                <c:pt idx="3">
                  <c:v>221</c:v>
                </c:pt>
                <c:pt idx="4">
                  <c:v>228</c:v>
                </c:pt>
                <c:pt idx="5">
                  <c:v>239</c:v>
                </c:pt>
                <c:pt idx="6">
                  <c:v>242</c:v>
                </c:pt>
                <c:pt idx="7">
                  <c:v>238.96</c:v>
                </c:pt>
                <c:pt idx="8">
                  <c:v>230</c:v>
                </c:pt>
                <c:pt idx="9">
                  <c:v>235</c:v>
                </c:pt>
                <c:pt idx="10">
                  <c:v>240</c:v>
                </c:pt>
                <c:pt idx="11">
                  <c:v>242</c:v>
                </c:pt>
              </c:numCache>
            </c:numRef>
          </c:val>
          <c:smooth val="0"/>
          <c:extLst>
            <c:ext xmlns:c16="http://schemas.microsoft.com/office/drawing/2014/chart" uri="{C3380CC4-5D6E-409C-BE32-E72D297353CC}">
              <c16:uniqueId val="{00000001-CD8A-4F1F-A4E9-65C1F517AB83}"/>
            </c:ext>
          </c:extLst>
        </c:ser>
        <c:ser>
          <c:idx val="2"/>
          <c:order val="2"/>
          <c:tx>
            <c:strRef>
              <c:f>Data!$D$1</c:f>
              <c:strCache>
                <c:ptCount val="1"/>
                <c:pt idx="0">
                  <c:v>Budget FTE</c:v>
                </c:pt>
              </c:strCache>
            </c:strRef>
          </c:tx>
          <c:spPr>
            <a:ln w="28575" cap="rnd">
              <a:solidFill>
                <a:schemeClr val="accent3"/>
              </a:solidFill>
              <a:prstDash val="dash"/>
              <a:round/>
            </a:ln>
            <a:effectLst/>
          </c:spPr>
          <c:marker>
            <c:symbol val="none"/>
          </c:marker>
          <c:cat>
            <c:numRef>
              <c:f>Data!$A$2:$A$13</c:f>
              <c:numCache>
                <c:formatCode>General</c:formatCod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numCache>
            </c:numRef>
          </c:cat>
          <c:val>
            <c:numRef>
              <c:f>Data!$D$2:$D$13</c:f>
              <c:numCache>
                <c:formatCode>0</c:formatCode>
                <c:ptCount val="12"/>
                <c:pt idx="0">
                  <c:v>240</c:v>
                </c:pt>
                <c:pt idx="1">
                  <c:v>230</c:v>
                </c:pt>
                <c:pt idx="2">
                  <c:v>222.36</c:v>
                </c:pt>
                <c:pt idx="3">
                  <c:v>231.54</c:v>
                </c:pt>
                <c:pt idx="4">
                  <c:v>230.52</c:v>
                </c:pt>
                <c:pt idx="5">
                  <c:v>241.74</c:v>
                </c:pt>
                <c:pt idx="6">
                  <c:v>248.88</c:v>
                </c:pt>
                <c:pt idx="7">
                  <c:v>236.64000000000001</c:v>
                </c:pt>
                <c:pt idx="8">
                  <c:v>236.64000000000001</c:v>
                </c:pt>
                <c:pt idx="9">
                  <c:v>235</c:v>
                </c:pt>
                <c:pt idx="10">
                  <c:v>240</c:v>
                </c:pt>
                <c:pt idx="11">
                  <c:v>242</c:v>
                </c:pt>
              </c:numCache>
            </c:numRef>
          </c:val>
          <c:smooth val="0"/>
          <c:extLst>
            <c:ext xmlns:c16="http://schemas.microsoft.com/office/drawing/2014/chart" uri="{C3380CC4-5D6E-409C-BE32-E72D297353CC}">
              <c16:uniqueId val="{00000002-CD8A-4F1F-A4E9-65C1F517AB83}"/>
            </c:ext>
          </c:extLst>
        </c:ser>
        <c:dLbls>
          <c:showLegendKey val="0"/>
          <c:showVal val="0"/>
          <c:showCatName val="0"/>
          <c:showSerName val="0"/>
          <c:showPercent val="0"/>
          <c:showBubbleSize val="0"/>
        </c:dLbls>
        <c:marker val="1"/>
        <c:smooth val="0"/>
        <c:axId val="591780879"/>
        <c:axId val="591774159"/>
      </c:lineChart>
      <c:catAx>
        <c:axId val="59178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74159"/>
        <c:crosses val="autoZero"/>
        <c:auto val="1"/>
        <c:lblAlgn val="ctr"/>
        <c:lblOffset val="100"/>
        <c:noMultiLvlLbl val="0"/>
      </c:catAx>
      <c:valAx>
        <c:axId val="591774159"/>
        <c:scaling>
          <c:orientation val="minMax"/>
          <c:min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FTEs</a:t>
                </a:r>
              </a:p>
            </c:rich>
          </c:tx>
          <c:layout>
            <c:manualLayout>
              <c:xMode val="edge"/>
              <c:yMode val="edge"/>
              <c:x val="9.9125364431486881E-2"/>
              <c:y val="0.393498913526016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808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Staffing Model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Data!$B$1</c:f>
              <c:strCache>
                <c:ptCount val="1"/>
                <c:pt idx="0">
                  <c:v>Actual FTEs</c:v>
                </c:pt>
              </c:strCache>
            </c:strRef>
          </c:tx>
          <c:spPr>
            <a:solidFill>
              <a:schemeClr val="bg1">
                <a:lumMod val="85000"/>
              </a:schemeClr>
            </a:solidFill>
            <a:ln>
              <a:solidFill>
                <a:schemeClr val="bg1">
                  <a:lumMod val="75000"/>
                </a:schemeClr>
              </a:solidFill>
            </a:ln>
            <a:effectLst/>
          </c:spPr>
          <c:invertIfNegative val="0"/>
          <c:dPt>
            <c:idx val="0"/>
            <c:invertIfNegative val="0"/>
            <c:bubble3D val="0"/>
            <c:spPr>
              <a:solidFill>
                <a:schemeClr val="bg1">
                  <a:lumMod val="65000"/>
                </a:schemeClr>
              </a:solidFill>
              <a:ln>
                <a:solidFill>
                  <a:schemeClr val="bg1">
                    <a:lumMod val="75000"/>
                  </a:schemeClr>
                </a:solidFill>
              </a:ln>
              <a:effectLst/>
            </c:spPr>
            <c:extLst>
              <c:ext xmlns:c16="http://schemas.microsoft.com/office/drawing/2014/chart" uri="{C3380CC4-5D6E-409C-BE32-E72D297353CC}">
                <c16:uniqueId val="{00000001-4B65-444F-BA1A-C538F23F74B5}"/>
              </c:ext>
            </c:extLst>
          </c:dPt>
          <c:dPt>
            <c:idx val="1"/>
            <c:invertIfNegative val="0"/>
            <c:bubble3D val="0"/>
            <c:spPr>
              <a:solidFill>
                <a:schemeClr val="bg1">
                  <a:lumMod val="65000"/>
                </a:schemeClr>
              </a:solidFill>
              <a:ln>
                <a:solidFill>
                  <a:schemeClr val="bg1">
                    <a:lumMod val="75000"/>
                  </a:schemeClr>
                </a:solidFill>
              </a:ln>
              <a:effectLst/>
            </c:spPr>
            <c:extLst>
              <c:ext xmlns:c16="http://schemas.microsoft.com/office/drawing/2014/chart" uri="{C3380CC4-5D6E-409C-BE32-E72D297353CC}">
                <c16:uniqueId val="{00000003-4B65-444F-BA1A-C538F23F74B5}"/>
              </c:ext>
            </c:extLst>
          </c:dPt>
          <c:dPt>
            <c:idx val="2"/>
            <c:invertIfNegative val="0"/>
            <c:bubble3D val="0"/>
            <c:spPr>
              <a:solidFill>
                <a:schemeClr val="bg1">
                  <a:lumMod val="65000"/>
                </a:schemeClr>
              </a:solidFill>
              <a:ln>
                <a:solidFill>
                  <a:schemeClr val="bg1">
                    <a:lumMod val="75000"/>
                  </a:schemeClr>
                </a:solidFill>
              </a:ln>
              <a:effectLst/>
            </c:spPr>
            <c:extLst>
              <c:ext xmlns:c16="http://schemas.microsoft.com/office/drawing/2014/chart" uri="{C3380CC4-5D6E-409C-BE32-E72D297353CC}">
                <c16:uniqueId val="{00000005-4B65-444F-BA1A-C538F23F74B5}"/>
              </c:ext>
            </c:extLst>
          </c:dPt>
          <c:dPt>
            <c:idx val="3"/>
            <c:invertIfNegative val="0"/>
            <c:bubble3D val="0"/>
            <c:spPr>
              <a:solidFill>
                <a:schemeClr val="bg1">
                  <a:lumMod val="65000"/>
                </a:schemeClr>
              </a:solidFill>
              <a:ln>
                <a:solidFill>
                  <a:schemeClr val="bg1">
                    <a:lumMod val="75000"/>
                  </a:schemeClr>
                </a:solidFill>
              </a:ln>
              <a:effectLst/>
            </c:spPr>
            <c:extLst>
              <c:ext xmlns:c16="http://schemas.microsoft.com/office/drawing/2014/chart" uri="{C3380CC4-5D6E-409C-BE32-E72D297353CC}">
                <c16:uniqueId val="{00000007-4B65-444F-BA1A-C538F23F74B5}"/>
              </c:ext>
            </c:extLst>
          </c:dPt>
          <c:cat>
            <c:numRef>
              <c:f>Data!$A$2:$A$13</c:f>
              <c:numCache>
                <c:formatCode>General</c:formatCod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numCache>
            </c:numRef>
          </c:cat>
          <c:val>
            <c:numRef>
              <c:f>Data!$B$2:$B$13</c:f>
              <c:numCache>
                <c:formatCode>General</c:formatCode>
                <c:ptCount val="12"/>
                <c:pt idx="0">
                  <c:v>237</c:v>
                </c:pt>
                <c:pt idx="1">
                  <c:v>237</c:v>
                </c:pt>
                <c:pt idx="2">
                  <c:v>218</c:v>
                </c:pt>
                <c:pt idx="3">
                  <c:v>227</c:v>
                </c:pt>
                <c:pt idx="4">
                  <c:v>226</c:v>
                </c:pt>
                <c:pt idx="5">
                  <c:v>237</c:v>
                </c:pt>
                <c:pt idx="6">
                  <c:v>244</c:v>
                </c:pt>
                <c:pt idx="7">
                  <c:v>232</c:v>
                </c:pt>
                <c:pt idx="8">
                  <c:v>232</c:v>
                </c:pt>
                <c:pt idx="9">
                  <c:v>237</c:v>
                </c:pt>
                <c:pt idx="10">
                  <c:v>237</c:v>
                </c:pt>
                <c:pt idx="11">
                  <c:v>237</c:v>
                </c:pt>
              </c:numCache>
            </c:numRef>
          </c:val>
          <c:extLst>
            <c:ext xmlns:c16="http://schemas.microsoft.com/office/drawing/2014/chart" uri="{C3380CC4-5D6E-409C-BE32-E72D297353CC}">
              <c16:uniqueId val="{00000008-4B65-444F-BA1A-C538F23F74B5}"/>
            </c:ext>
          </c:extLst>
        </c:ser>
        <c:ser>
          <c:idx val="3"/>
          <c:order val="3"/>
          <c:tx>
            <c:strRef>
              <c:f>Data!$E$1</c:f>
              <c:strCache>
                <c:ptCount val="1"/>
                <c:pt idx="0">
                  <c:v>Capacity in FTE</c:v>
                </c:pt>
              </c:strCache>
            </c:strRef>
          </c:tx>
          <c:spPr>
            <a:solidFill>
              <a:schemeClr val="accent4"/>
            </a:solidFill>
            <a:ln>
              <a:noFill/>
            </a:ln>
            <a:effectLst/>
          </c:spPr>
          <c:invertIfNegative val="0"/>
          <c:cat>
            <c:numRef>
              <c:f>Data!$A$2:$A$13</c:f>
              <c:numCache>
                <c:formatCode>General</c:formatCod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numCache>
            </c:numRef>
          </c:cat>
          <c:val>
            <c:numRef>
              <c:f>Data!$E$2:$E$13</c:f>
              <c:numCache>
                <c:formatCode>0</c:formatCode>
                <c:ptCount val="12"/>
                <c:pt idx="0">
                  <c:v>3</c:v>
                </c:pt>
                <c:pt idx="1">
                  <c:v>-7</c:v>
                </c:pt>
                <c:pt idx="2">
                  <c:v>6.539999999999992</c:v>
                </c:pt>
                <c:pt idx="3">
                  <c:v>-6</c:v>
                </c:pt>
                <c:pt idx="4">
                  <c:v>2</c:v>
                </c:pt>
                <c:pt idx="5">
                  <c:v>2</c:v>
                </c:pt>
                <c:pt idx="6">
                  <c:v>-2</c:v>
                </c:pt>
                <c:pt idx="7">
                  <c:v>6.960000000000008</c:v>
                </c:pt>
                <c:pt idx="8">
                  <c:v>-2</c:v>
                </c:pt>
                <c:pt idx="9">
                  <c:v>-2</c:v>
                </c:pt>
                <c:pt idx="10">
                  <c:v>3</c:v>
                </c:pt>
                <c:pt idx="11">
                  <c:v>5</c:v>
                </c:pt>
              </c:numCache>
            </c:numRef>
          </c:val>
          <c:extLst>
            <c:ext xmlns:c16="http://schemas.microsoft.com/office/drawing/2014/chart" uri="{C3380CC4-5D6E-409C-BE32-E72D297353CC}">
              <c16:uniqueId val="{00000009-4B65-444F-BA1A-C538F23F74B5}"/>
            </c:ext>
          </c:extLst>
        </c:ser>
        <c:dLbls>
          <c:showLegendKey val="0"/>
          <c:showVal val="0"/>
          <c:showCatName val="0"/>
          <c:showSerName val="0"/>
          <c:showPercent val="0"/>
          <c:showBubbleSize val="0"/>
        </c:dLbls>
        <c:gapWidth val="150"/>
        <c:axId val="591780879"/>
        <c:axId val="591774159"/>
      </c:barChart>
      <c:lineChart>
        <c:grouping val="standard"/>
        <c:varyColors val="0"/>
        <c:ser>
          <c:idx val="1"/>
          <c:order val="1"/>
          <c:tx>
            <c:strRef>
              <c:f>Data!$C$1</c:f>
              <c:strCache>
                <c:ptCount val="1"/>
                <c:pt idx="0">
                  <c:v>FTE Need </c:v>
                </c:pt>
              </c:strCache>
            </c:strRef>
          </c:tx>
          <c:spPr>
            <a:ln w="28575" cap="rnd">
              <a:solidFill>
                <a:schemeClr val="accent2"/>
              </a:solidFill>
              <a:round/>
            </a:ln>
            <a:effectLst/>
          </c:spPr>
          <c:marker>
            <c:symbol val="none"/>
          </c:marker>
          <c:cat>
            <c:numRef>
              <c:f>Data!$A$2:$A$13</c:f>
              <c:numCache>
                <c:formatCode>General</c:formatCod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numCache>
            </c:numRef>
          </c:cat>
          <c:val>
            <c:numRef>
              <c:f>Data!$C$2:$C$13</c:f>
              <c:numCache>
                <c:formatCode>0</c:formatCode>
                <c:ptCount val="12"/>
                <c:pt idx="0">
                  <c:v>240</c:v>
                </c:pt>
                <c:pt idx="1">
                  <c:v>230</c:v>
                </c:pt>
                <c:pt idx="2">
                  <c:v>224.54</c:v>
                </c:pt>
                <c:pt idx="3">
                  <c:v>221</c:v>
                </c:pt>
                <c:pt idx="4">
                  <c:v>228</c:v>
                </c:pt>
                <c:pt idx="5">
                  <c:v>239</c:v>
                </c:pt>
                <c:pt idx="6">
                  <c:v>242</c:v>
                </c:pt>
                <c:pt idx="7">
                  <c:v>238.96</c:v>
                </c:pt>
                <c:pt idx="8">
                  <c:v>230</c:v>
                </c:pt>
                <c:pt idx="9">
                  <c:v>235</c:v>
                </c:pt>
                <c:pt idx="10">
                  <c:v>240</c:v>
                </c:pt>
                <c:pt idx="11">
                  <c:v>242</c:v>
                </c:pt>
              </c:numCache>
            </c:numRef>
          </c:val>
          <c:smooth val="0"/>
          <c:extLst>
            <c:ext xmlns:c16="http://schemas.microsoft.com/office/drawing/2014/chart" uri="{C3380CC4-5D6E-409C-BE32-E72D297353CC}">
              <c16:uniqueId val="{0000000A-4B65-444F-BA1A-C538F23F74B5}"/>
            </c:ext>
          </c:extLst>
        </c:ser>
        <c:ser>
          <c:idx val="2"/>
          <c:order val="2"/>
          <c:tx>
            <c:strRef>
              <c:f>Data!$D$1</c:f>
              <c:strCache>
                <c:ptCount val="1"/>
                <c:pt idx="0">
                  <c:v>Budget FTE</c:v>
                </c:pt>
              </c:strCache>
            </c:strRef>
          </c:tx>
          <c:spPr>
            <a:ln w="28575" cap="rnd">
              <a:solidFill>
                <a:schemeClr val="accent3"/>
              </a:solidFill>
              <a:prstDash val="dash"/>
              <a:round/>
            </a:ln>
            <a:effectLst/>
          </c:spPr>
          <c:marker>
            <c:symbol val="none"/>
          </c:marker>
          <c:cat>
            <c:numRef>
              <c:f>Data!$A$2:$A$13</c:f>
              <c:numCache>
                <c:formatCode>General</c:formatCod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numCache>
            </c:numRef>
          </c:cat>
          <c:val>
            <c:numRef>
              <c:f>Data!$D$2:$D$13</c:f>
              <c:numCache>
                <c:formatCode>0</c:formatCode>
                <c:ptCount val="12"/>
                <c:pt idx="0">
                  <c:v>240</c:v>
                </c:pt>
                <c:pt idx="1">
                  <c:v>230</c:v>
                </c:pt>
                <c:pt idx="2">
                  <c:v>222.36</c:v>
                </c:pt>
                <c:pt idx="3">
                  <c:v>231.54</c:v>
                </c:pt>
                <c:pt idx="4">
                  <c:v>230.52</c:v>
                </c:pt>
                <c:pt idx="5">
                  <c:v>241.74</c:v>
                </c:pt>
                <c:pt idx="6">
                  <c:v>248.88</c:v>
                </c:pt>
                <c:pt idx="7">
                  <c:v>236.64000000000001</c:v>
                </c:pt>
                <c:pt idx="8">
                  <c:v>236.64000000000001</c:v>
                </c:pt>
                <c:pt idx="9">
                  <c:v>235</c:v>
                </c:pt>
                <c:pt idx="10">
                  <c:v>240</c:v>
                </c:pt>
                <c:pt idx="11">
                  <c:v>242</c:v>
                </c:pt>
              </c:numCache>
            </c:numRef>
          </c:val>
          <c:smooth val="0"/>
          <c:extLst>
            <c:ext xmlns:c16="http://schemas.microsoft.com/office/drawing/2014/chart" uri="{C3380CC4-5D6E-409C-BE32-E72D297353CC}">
              <c16:uniqueId val="{0000000B-4B65-444F-BA1A-C538F23F74B5}"/>
            </c:ext>
          </c:extLst>
        </c:ser>
        <c:dLbls>
          <c:showLegendKey val="0"/>
          <c:showVal val="0"/>
          <c:showCatName val="0"/>
          <c:showSerName val="0"/>
          <c:showPercent val="0"/>
          <c:showBubbleSize val="0"/>
        </c:dLbls>
        <c:marker val="1"/>
        <c:smooth val="0"/>
        <c:axId val="591780879"/>
        <c:axId val="591774159"/>
      </c:lineChart>
      <c:catAx>
        <c:axId val="59178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74159"/>
        <c:crosses val="autoZero"/>
        <c:auto val="1"/>
        <c:lblAlgn val="ctr"/>
        <c:lblOffset val="100"/>
        <c:noMultiLvlLbl val="0"/>
      </c:catAx>
      <c:valAx>
        <c:axId val="591774159"/>
        <c:scaling>
          <c:orientation val="minMax"/>
          <c:min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FTEs</a:t>
                </a:r>
              </a:p>
            </c:rich>
          </c:tx>
          <c:layout>
            <c:manualLayout>
              <c:xMode val="edge"/>
              <c:yMode val="edge"/>
              <c:x val="9.9125364431486881E-2"/>
              <c:y val="0.393498913526016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808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333374</xdr:colOff>
      <xdr:row>1</xdr:row>
      <xdr:rowOff>41275</xdr:rowOff>
    </xdr:from>
    <xdr:to>
      <xdr:col>16</xdr:col>
      <xdr:colOff>158749</xdr:colOff>
      <xdr:row>18</xdr:row>
      <xdr:rowOff>15875</xdr:rowOff>
    </xdr:to>
    <xdr:graphicFrame macro="">
      <xdr:nvGraphicFramePr>
        <xdr:cNvPr id="3" name="Chart 2">
          <a:extLst>
            <a:ext uri="{FF2B5EF4-FFF2-40B4-BE49-F238E27FC236}">
              <a16:creationId xmlns:a16="http://schemas.microsoft.com/office/drawing/2014/main" id="{A09CB117-B40C-20A9-7290-7D6FB62D0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10</xdr:col>
      <xdr:colOff>434975</xdr:colOff>
      <xdr:row>20</xdr:row>
      <xdr:rowOff>158750</xdr:rowOff>
    </xdr:to>
    <xdr:graphicFrame macro="">
      <xdr:nvGraphicFramePr>
        <xdr:cNvPr id="2" name="Chart 1">
          <a:extLst>
            <a:ext uri="{FF2B5EF4-FFF2-40B4-BE49-F238E27FC236}">
              <a16:creationId xmlns:a16="http://schemas.microsoft.com/office/drawing/2014/main" id="{F0C30429-8A21-42EE-99AC-3810BA260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0D2B-CD2E-462D-8AE3-8D5EDF276821}">
  <dimension ref="A1:E13"/>
  <sheetViews>
    <sheetView workbookViewId="0">
      <selection activeCell="C16" sqref="C16"/>
    </sheetView>
  </sheetViews>
  <sheetFormatPr defaultRowHeight="14.5" x14ac:dyDescent="0.35"/>
  <cols>
    <col min="2" max="2" width="11" bestFit="1" customWidth="1"/>
    <col min="4" max="4" width="10.81640625" bestFit="1" customWidth="1"/>
  </cols>
  <sheetData>
    <row r="1" spans="1:5" x14ac:dyDescent="0.35">
      <c r="A1" s="2" t="s">
        <v>0</v>
      </c>
      <c r="B1" s="2" t="s">
        <v>3</v>
      </c>
      <c r="C1" s="2" t="s">
        <v>1</v>
      </c>
      <c r="D1" s="2" t="s">
        <v>2</v>
      </c>
      <c r="E1" s="2" t="s">
        <v>4</v>
      </c>
    </row>
    <row r="2" spans="1:5" x14ac:dyDescent="0.35">
      <c r="A2">
        <v>202501</v>
      </c>
      <c r="B2">
        <v>237</v>
      </c>
      <c r="C2" s="1">
        <v>240</v>
      </c>
      <c r="D2" s="1">
        <v>240</v>
      </c>
      <c r="E2" s="1">
        <f>C2-B2</f>
        <v>3</v>
      </c>
    </row>
    <row r="3" spans="1:5" x14ac:dyDescent="0.35">
      <c r="A3">
        <v>202502</v>
      </c>
      <c r="B3">
        <v>237</v>
      </c>
      <c r="C3" s="1">
        <v>230</v>
      </c>
      <c r="D3" s="1">
        <v>230</v>
      </c>
      <c r="E3" s="1">
        <f t="shared" ref="E3:E13" si="0">C3-B3</f>
        <v>-7</v>
      </c>
    </row>
    <row r="4" spans="1:5" x14ac:dyDescent="0.35">
      <c r="A4">
        <v>202503</v>
      </c>
      <c r="B4">
        <v>218</v>
      </c>
      <c r="C4" s="1">
        <f t="shared" ref="C4:C9" si="1">B4*(1+0.03)</f>
        <v>224.54</v>
      </c>
      <c r="D4" s="1">
        <f t="shared" ref="D4:D10" si="2">B4*(1+0.02)</f>
        <v>222.36</v>
      </c>
      <c r="E4" s="1">
        <f t="shared" si="0"/>
        <v>6.539999999999992</v>
      </c>
    </row>
    <row r="5" spans="1:5" x14ac:dyDescent="0.35">
      <c r="A5">
        <v>202504</v>
      </c>
      <c r="B5">
        <v>227</v>
      </c>
      <c r="C5" s="1">
        <v>221</v>
      </c>
      <c r="D5" s="1">
        <f t="shared" si="2"/>
        <v>231.54</v>
      </c>
      <c r="E5" s="1">
        <f t="shared" si="0"/>
        <v>-6</v>
      </c>
    </row>
    <row r="6" spans="1:5" x14ac:dyDescent="0.35">
      <c r="A6">
        <v>202505</v>
      </c>
      <c r="B6">
        <v>226</v>
      </c>
      <c r="C6" s="1">
        <v>228</v>
      </c>
      <c r="D6" s="1">
        <f t="shared" si="2"/>
        <v>230.52</v>
      </c>
      <c r="E6" s="1">
        <f t="shared" si="0"/>
        <v>2</v>
      </c>
    </row>
    <row r="7" spans="1:5" x14ac:dyDescent="0.35">
      <c r="A7">
        <v>202506</v>
      </c>
      <c r="B7">
        <v>237</v>
      </c>
      <c r="C7" s="1">
        <v>239</v>
      </c>
      <c r="D7" s="1">
        <f t="shared" si="2"/>
        <v>241.74</v>
      </c>
      <c r="E7" s="1">
        <f t="shared" si="0"/>
        <v>2</v>
      </c>
    </row>
    <row r="8" spans="1:5" x14ac:dyDescent="0.35">
      <c r="A8">
        <v>202507</v>
      </c>
      <c r="B8">
        <v>244</v>
      </c>
      <c r="C8" s="1">
        <v>242</v>
      </c>
      <c r="D8" s="1">
        <f t="shared" si="2"/>
        <v>248.88</v>
      </c>
      <c r="E8" s="1">
        <f t="shared" si="0"/>
        <v>-2</v>
      </c>
    </row>
    <row r="9" spans="1:5" x14ac:dyDescent="0.35">
      <c r="A9">
        <v>202508</v>
      </c>
      <c r="B9">
        <v>232</v>
      </c>
      <c r="C9" s="1">
        <f t="shared" si="1"/>
        <v>238.96</v>
      </c>
      <c r="D9" s="1">
        <f t="shared" si="2"/>
        <v>236.64000000000001</v>
      </c>
      <c r="E9" s="1">
        <f t="shared" si="0"/>
        <v>6.960000000000008</v>
      </c>
    </row>
    <row r="10" spans="1:5" x14ac:dyDescent="0.35">
      <c r="A10">
        <v>202509</v>
      </c>
      <c r="B10">
        <v>232</v>
      </c>
      <c r="C10" s="1">
        <v>230</v>
      </c>
      <c r="D10" s="1">
        <f t="shared" si="2"/>
        <v>236.64000000000001</v>
      </c>
      <c r="E10" s="1">
        <f t="shared" si="0"/>
        <v>-2</v>
      </c>
    </row>
    <row r="11" spans="1:5" x14ac:dyDescent="0.35">
      <c r="A11">
        <v>202510</v>
      </c>
      <c r="B11">
        <v>237</v>
      </c>
      <c r="C11" s="1">
        <v>235</v>
      </c>
      <c r="D11" s="1">
        <v>235</v>
      </c>
      <c r="E11" s="1">
        <f t="shared" si="0"/>
        <v>-2</v>
      </c>
    </row>
    <row r="12" spans="1:5" x14ac:dyDescent="0.35">
      <c r="A12">
        <v>202511</v>
      </c>
      <c r="B12">
        <v>237</v>
      </c>
      <c r="C12" s="1">
        <v>240</v>
      </c>
      <c r="D12" s="1">
        <v>240</v>
      </c>
      <c r="E12" s="1">
        <f t="shared" si="0"/>
        <v>3</v>
      </c>
    </row>
    <row r="13" spans="1:5" x14ac:dyDescent="0.35">
      <c r="A13">
        <v>202512</v>
      </c>
      <c r="B13">
        <v>237</v>
      </c>
      <c r="C13" s="1">
        <v>242</v>
      </c>
      <c r="D13" s="1">
        <v>242</v>
      </c>
      <c r="E13" s="1">
        <f t="shared" si="0"/>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5E73-247E-4B27-989A-9271AE61545E}">
  <dimension ref="A1:H2"/>
  <sheetViews>
    <sheetView showGridLines="0" tabSelected="1" workbookViewId="0">
      <selection activeCell="A2" sqref="A2:H2"/>
    </sheetView>
  </sheetViews>
  <sheetFormatPr defaultRowHeight="14.5" x14ac:dyDescent="0.35"/>
  <cols>
    <col min="8" max="8" width="28.7265625" customWidth="1"/>
  </cols>
  <sheetData>
    <row r="1" spans="1:8" ht="18.5" x14ac:dyDescent="0.45">
      <c r="A1" s="3" t="s">
        <v>5</v>
      </c>
    </row>
    <row r="2" spans="1:8" ht="100.5" customHeight="1" x14ac:dyDescent="0.35">
      <c r="A2" s="4" t="s">
        <v>6</v>
      </c>
      <c r="B2" s="4"/>
      <c r="C2" s="4"/>
      <c r="D2" s="4"/>
      <c r="E2" s="4"/>
      <c r="F2" s="4"/>
      <c r="G2" s="4"/>
      <c r="H2" s="4"/>
    </row>
  </sheetData>
  <mergeCells count="1">
    <mergeCell ref="A2: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nushrat alam</dc:creator>
  <cp:lastModifiedBy>nushrat alam</cp:lastModifiedBy>
  <dcterms:created xsi:type="dcterms:W3CDTF">2026-04-21T02:35:18Z</dcterms:created>
  <dcterms:modified xsi:type="dcterms:W3CDTF">2026-04-23T21:46:23Z</dcterms:modified>
</cp:coreProperties>
</file>